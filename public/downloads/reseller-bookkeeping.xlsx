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Sales" state="visible" r:id="rId5"/>
    <sheet sheetId="3" name="Expenses" state="visible" r:id="rId6"/>
    <sheet sheetId="4" name="Summary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F1" authorId="0">
      <text>
        <r>
          <t>Selling fees, payment fees and ad fees for this order.</t>
        </r>
      </text>
    </comment>
    <comment ref="H1" authorId="0">
      <text>
        <r>
          <t>What you paid for the item.</t>
        </r>
      </text>
    </comment>
  </commentList>
</comments>
</file>

<file path=xl/sharedStrings.xml><?xml version="1.0" encoding="utf-8"?>
<sst xmlns="http://schemas.openxmlformats.org/spreadsheetml/2006/main" count="47" uniqueCount="44">
  <si>
    <t>Reseller bookkeeping spreadsheet</t>
  </si>
  <si>
    <t>One row per sale on the Sales sheet, one row per cost on the Expenses sheet. Grey columns work themselves out.</t>
  </si>
  <si>
    <t>• Sales: the date it sold, where, what, the order number, what the buyer paid, then the fees, postage and what you paid for the item.</t>
  </si>
  <si>
    <t>• Expenses: anything you bought to run the selling, such as packaging, printer labels, mileage to sourcing, or a subscription. Keep the receipt.</t>
  </si>
  <si>
    <t>• Summary: totals for the tax year you pick in cell B1, by platform and in total. The UK tax year runs 6 April to 5 April.</t>
  </si>
  <si>
    <t>Tip: download each platform's sales report monthly and copy the totals across, rather than typing every order by hand.</t>
  </si>
  <si>
    <t>The trading allowance, platform reporting and Self Assessment rules are explained, with links to GOV.UK, in the guide 'Bookkeeping and tax for UK resellers' on The Sellers Network.</t>
  </si>
  <si>
    <t>Free from The Sellers Network, a forum for UK resellers. Not tax, legal or financial advice.</t>
  </si>
  <si>
    <t>Date sold</t>
  </si>
  <si>
    <t>Platform</t>
  </si>
  <si>
    <t>Item</t>
  </si>
  <si>
    <t>Order number</t>
  </si>
  <si>
    <t>Buyer paid (inc. postage)</t>
  </si>
  <si>
    <t>Platform fees</t>
  </si>
  <si>
    <t>Postage cost</t>
  </si>
  <si>
    <t>Item cost</t>
  </si>
  <si>
    <t>Profit</t>
  </si>
  <si>
    <t>Tax year</t>
  </si>
  <si>
    <t>Date</t>
  </si>
  <si>
    <t>Paid to</t>
  </si>
  <si>
    <t>What for</t>
  </si>
  <si>
    <t>Type</t>
  </si>
  <si>
    <t>Amount</t>
  </si>
  <si>
    <t>Receipt kept?</t>
  </si>
  <si>
    <t>Tax year (type as 2026-27)</t>
  </si>
  <si>
    <t>2026-27</t>
  </si>
  <si>
    <t>Sales</t>
  </si>
  <si>
    <t>Fees</t>
  </si>
  <si>
    <t>Postage</t>
  </si>
  <si>
    <t>Item costs</t>
  </si>
  <si>
    <t>eBay</t>
  </si>
  <si>
    <t>Amazon</t>
  </si>
  <si>
    <t>Vinted</t>
  </si>
  <si>
    <t>Facebook</t>
  </si>
  <si>
    <t>Depop</t>
  </si>
  <si>
    <t>Etsy</t>
  </si>
  <si>
    <t>Whatnot</t>
  </si>
  <si>
    <t>TikTok Shop</t>
  </si>
  <si>
    <t>Own site</t>
  </si>
  <si>
    <t>Other</t>
  </si>
  <si>
    <t>All platforms</t>
  </si>
  <si>
    <t>Expenses</t>
  </si>
  <si>
    <t>Profit after expenses</t>
  </si>
  <si>
    <t>Sales count this tax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</si>
</sst>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£#,##0.00;[Red]-£#,##0.00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4748B"/>
    </font>
    <font>
      <b/>
      <color rgb="FFFFFFFF"/>
    </font>
    <font>
      <color rgb="FF475569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 inden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65" fontId="4" fillId="0" borderId="0" xfId="0" applyNumberFormat="1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3" t="s">
        <v>2</v>
      </c>
    </row>
    <row r="5" spans="1:1" s="2" customFormat="1" x14ac:dyDescent="0.25">
      <c r="A5" s="3" t="s">
        <v>3</v>
      </c>
    </row>
    <row r="6" spans="1:1" s="2" customFormat="1" x14ac:dyDescent="0.25">
      <c r="A6" s="3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10" spans="1:1" s="4" customFormat="1" x14ac:dyDescent="0.25">
      <c r="A10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13" customWidth="1"/>
    <col min="3" max="3" width="34" customWidth="1"/>
    <col min="4" max="4" width="18" customWidth="1"/>
    <col min="5" max="5" width="14" style="6" customWidth="1"/>
    <col min="6" max="9" width="12" style="6" customWidth="1"/>
    <col min="10" max="10" width="11" customWidth="1"/>
  </cols>
  <sheetData>
    <row r="1" ht="30" customHeight="1" spans="1:10" s="7" customFormat="1" x14ac:dyDescent="0.25">
      <c r="A1" s="8" t="s">
        <v>8</v>
      </c>
      <c r="B1" s="7" t="s">
        <v>9</v>
      </c>
      <c r="C1" s="7" t="s">
        <v>10</v>
      </c>
      <c r="D1" s="7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7" t="s">
        <v>17</v>
      </c>
    </row>
    <row r="2" spans="1:10" x14ac:dyDescent="0.25">
      <c r="A2" s="10"/>
      <c r="B2" s="11"/>
      <c r="C2" s="11"/>
      <c r="D2" s="11"/>
      <c r="E2" s="12"/>
      <c r="F2" s="12"/>
      <c r="G2" s="12"/>
      <c r="H2" s="12"/>
      <c r="I2" s="13">
        <f>IF(E2="","",E2-F2-G2-H2)</f>
      </c>
      <c r="J2" s="14">
        <f>IF(A2="","",IF(A2&gt;=DATE(YEAR(A2),4,6),YEAR(A2)&amp;"-"&amp;RIGHT(YEAR(A2)+1,2),YEAR(A2)-1&amp;"-"&amp;RIGHT(YEAR(A2),2)))</f>
      </c>
    </row>
    <row r="3" spans="1:10" x14ac:dyDescent="0.25">
      <c r="A3" s="10"/>
      <c r="B3" s="11"/>
      <c r="C3" s="11"/>
      <c r="D3" s="11"/>
      <c r="E3" s="12"/>
      <c r="F3" s="12"/>
      <c r="G3" s="12"/>
      <c r="H3" s="12"/>
      <c r="I3" s="13">
        <f>IF(E3="","",E3-F3-G3-H3)</f>
      </c>
      <c r="J3" s="14">
        <f>IF(A3="","",IF(A3&gt;=DATE(YEAR(A3),4,6),YEAR(A3)&amp;"-"&amp;RIGHT(YEAR(A3)+1,2),YEAR(A3)-1&amp;"-"&amp;RIGHT(YEAR(A3),2)))</f>
      </c>
    </row>
    <row r="4" spans="1:10" x14ac:dyDescent="0.25">
      <c r="A4" s="10"/>
      <c r="B4" s="11"/>
      <c r="C4" s="11"/>
      <c r="D4" s="11"/>
      <c r="E4" s="12"/>
      <c r="F4" s="12"/>
      <c r="G4" s="12"/>
      <c r="H4" s="12"/>
      <c r="I4" s="13">
        <f>IF(E4="","",E4-F4-G4-H4)</f>
      </c>
      <c r="J4" s="14">
        <f>IF(A4="","",IF(A4&gt;=DATE(YEAR(A4),4,6),YEAR(A4)&amp;"-"&amp;RIGHT(YEAR(A4)+1,2),YEAR(A4)-1&amp;"-"&amp;RIGHT(YEAR(A4),2)))</f>
      </c>
    </row>
    <row r="5" spans="1:10" x14ac:dyDescent="0.25">
      <c r="A5" s="10"/>
      <c r="B5" s="11"/>
      <c r="C5" s="11"/>
      <c r="D5" s="11"/>
      <c r="E5" s="12"/>
      <c r="F5" s="12"/>
      <c r="G5" s="12"/>
      <c r="H5" s="12"/>
      <c r="I5" s="13">
        <f>IF(E5="","",E5-F5-G5-H5)</f>
      </c>
      <c r="J5" s="14">
        <f>IF(A5="","",IF(A5&gt;=DATE(YEAR(A5),4,6),YEAR(A5)&amp;"-"&amp;RIGHT(YEAR(A5)+1,2),YEAR(A5)-1&amp;"-"&amp;RIGHT(YEAR(A5),2)))</f>
      </c>
    </row>
    <row r="6" spans="1:10" x14ac:dyDescent="0.25">
      <c r="A6" s="10"/>
      <c r="B6" s="11"/>
      <c r="C6" s="11"/>
      <c r="D6" s="11"/>
      <c r="E6" s="12"/>
      <c r="F6" s="12"/>
      <c r="G6" s="12"/>
      <c r="H6" s="12"/>
      <c r="I6" s="13">
        <f>IF(E6="","",E6-F6-G6-H6)</f>
      </c>
      <c r="J6" s="14">
        <f>IF(A6="","",IF(A6&gt;=DATE(YEAR(A6),4,6),YEAR(A6)&amp;"-"&amp;RIGHT(YEAR(A6)+1,2),YEAR(A6)-1&amp;"-"&amp;RIGHT(YEAR(A6),2)))</f>
      </c>
    </row>
    <row r="7" spans="1:10" x14ac:dyDescent="0.25">
      <c r="A7" s="10"/>
      <c r="B7" s="11"/>
      <c r="C7" s="11"/>
      <c r="D7" s="11"/>
      <c r="E7" s="12"/>
      <c r="F7" s="12"/>
      <c r="G7" s="12"/>
      <c r="H7" s="12"/>
      <c r="I7" s="13">
        <f>IF(E7="","",E7-F7-G7-H7)</f>
      </c>
      <c r="J7" s="14">
        <f>IF(A7="","",IF(A7&gt;=DATE(YEAR(A7),4,6),YEAR(A7)&amp;"-"&amp;RIGHT(YEAR(A7)+1,2),YEAR(A7)-1&amp;"-"&amp;RIGHT(YEAR(A7),2)))</f>
      </c>
    </row>
    <row r="8" spans="1:10" x14ac:dyDescent="0.25">
      <c r="A8" s="10"/>
      <c r="B8" s="11"/>
      <c r="C8" s="11"/>
      <c r="D8" s="11"/>
      <c r="E8" s="12"/>
      <c r="F8" s="12"/>
      <c r="G8" s="12"/>
      <c r="H8" s="12"/>
      <c r="I8" s="13">
        <f>IF(E8="","",E8-F8-G8-H8)</f>
      </c>
      <c r="J8" s="14">
        <f>IF(A8="","",IF(A8&gt;=DATE(YEAR(A8),4,6),YEAR(A8)&amp;"-"&amp;RIGHT(YEAR(A8)+1,2),YEAR(A8)-1&amp;"-"&amp;RIGHT(YEAR(A8),2)))</f>
      </c>
    </row>
    <row r="9" spans="1:10" x14ac:dyDescent="0.25">
      <c r="A9" s="10"/>
      <c r="B9" s="11"/>
      <c r="C9" s="11"/>
      <c r="D9" s="11"/>
      <c r="E9" s="12"/>
      <c r="F9" s="12"/>
      <c r="G9" s="12"/>
      <c r="H9" s="12"/>
      <c r="I9" s="13">
        <f>IF(E9="","",E9-F9-G9-H9)</f>
      </c>
      <c r="J9" s="14">
        <f>IF(A9="","",IF(A9&gt;=DATE(YEAR(A9),4,6),YEAR(A9)&amp;"-"&amp;RIGHT(YEAR(A9)+1,2),YEAR(A9)-1&amp;"-"&amp;RIGHT(YEAR(A9),2)))</f>
      </c>
    </row>
    <row r="10" spans="1:10" x14ac:dyDescent="0.25">
      <c r="A10" s="10"/>
      <c r="B10" s="11"/>
      <c r="C10" s="11"/>
      <c r="D10" s="11"/>
      <c r="E10" s="12"/>
      <c r="F10" s="12"/>
      <c r="G10" s="12"/>
      <c r="H10" s="12"/>
      <c r="I10" s="13">
        <f>IF(E10="","",E10-F10-G10-H10)</f>
      </c>
      <c r="J10" s="14">
        <f>IF(A10="","",IF(A10&gt;=DATE(YEAR(A10),4,6),YEAR(A10)&amp;"-"&amp;RIGHT(YEAR(A10)+1,2),YEAR(A10)-1&amp;"-"&amp;RIGHT(YEAR(A10),2)))</f>
      </c>
    </row>
    <row r="11" spans="1:10" x14ac:dyDescent="0.25">
      <c r="A11" s="10"/>
      <c r="B11" s="11"/>
      <c r="C11" s="11"/>
      <c r="D11" s="11"/>
      <c r="E11" s="12"/>
      <c r="F11" s="12"/>
      <c r="G11" s="12"/>
      <c r="H11" s="12"/>
      <c r="I11" s="13">
        <f>IF(E11="","",E11-F11-G11-H11)</f>
      </c>
      <c r="J11" s="14">
        <f>IF(A11="","",IF(A11&gt;=DATE(YEAR(A11),4,6),YEAR(A11)&amp;"-"&amp;RIGHT(YEAR(A11)+1,2),YEAR(A11)-1&amp;"-"&amp;RIGHT(YEAR(A11),2)))</f>
      </c>
    </row>
    <row r="12" spans="1:10" x14ac:dyDescent="0.25">
      <c r="A12" s="10"/>
      <c r="B12" s="11"/>
      <c r="C12" s="11"/>
      <c r="D12" s="11"/>
      <c r="E12" s="12"/>
      <c r="F12" s="12"/>
      <c r="G12" s="12"/>
      <c r="H12" s="12"/>
      <c r="I12" s="13">
        <f>IF(E12="","",E12-F12-G12-H12)</f>
      </c>
      <c r="J12" s="14">
        <f>IF(A12="","",IF(A12&gt;=DATE(YEAR(A12),4,6),YEAR(A12)&amp;"-"&amp;RIGHT(YEAR(A12)+1,2),YEAR(A12)-1&amp;"-"&amp;RIGHT(YEAR(A12),2)))</f>
      </c>
    </row>
    <row r="13" spans="1:10" x14ac:dyDescent="0.25">
      <c r="A13" s="10"/>
      <c r="B13" s="11"/>
      <c r="C13" s="11"/>
      <c r="D13" s="11"/>
      <c r="E13" s="12"/>
      <c r="F13" s="12"/>
      <c r="G13" s="12"/>
      <c r="H13" s="12"/>
      <c r="I13" s="13">
        <f>IF(E13="","",E13-F13-G13-H13)</f>
      </c>
      <c r="J13" s="14">
        <f>IF(A13="","",IF(A13&gt;=DATE(YEAR(A13),4,6),YEAR(A13)&amp;"-"&amp;RIGHT(YEAR(A13)+1,2),YEAR(A13)-1&amp;"-"&amp;RIGHT(YEAR(A13),2)))</f>
      </c>
    </row>
    <row r="14" spans="1:10" x14ac:dyDescent="0.25">
      <c r="A14" s="10"/>
      <c r="B14" s="11"/>
      <c r="C14" s="11"/>
      <c r="D14" s="11"/>
      <c r="E14" s="12"/>
      <c r="F14" s="12"/>
      <c r="G14" s="12"/>
      <c r="H14" s="12"/>
      <c r="I14" s="13">
        <f>IF(E14="","",E14-F14-G14-H14)</f>
      </c>
      <c r="J14" s="14">
        <f>IF(A14="","",IF(A14&gt;=DATE(YEAR(A14),4,6),YEAR(A14)&amp;"-"&amp;RIGHT(YEAR(A14)+1,2),YEAR(A14)-1&amp;"-"&amp;RIGHT(YEAR(A14),2)))</f>
      </c>
    </row>
    <row r="15" spans="1:10" x14ac:dyDescent="0.25">
      <c r="A15" s="10"/>
      <c r="B15" s="11"/>
      <c r="C15" s="11"/>
      <c r="D15" s="11"/>
      <c r="E15" s="12"/>
      <c r="F15" s="12"/>
      <c r="G15" s="12"/>
      <c r="H15" s="12"/>
      <c r="I15" s="13">
        <f>IF(E15="","",E15-F15-G15-H15)</f>
      </c>
      <c r="J15" s="14">
        <f>IF(A15="","",IF(A15&gt;=DATE(YEAR(A15),4,6),YEAR(A15)&amp;"-"&amp;RIGHT(YEAR(A15)+1,2),YEAR(A15)-1&amp;"-"&amp;RIGHT(YEAR(A15),2)))</f>
      </c>
    </row>
    <row r="16" spans="1:10" x14ac:dyDescent="0.25">
      <c r="A16" s="10"/>
      <c r="B16" s="11"/>
      <c r="C16" s="11"/>
      <c r="D16" s="11"/>
      <c r="E16" s="12"/>
      <c r="F16" s="12"/>
      <c r="G16" s="12"/>
      <c r="H16" s="12"/>
      <c r="I16" s="13">
        <f>IF(E16="","",E16-F16-G16-H16)</f>
      </c>
      <c r="J16" s="14">
        <f>IF(A16="","",IF(A16&gt;=DATE(YEAR(A16),4,6),YEAR(A16)&amp;"-"&amp;RIGHT(YEAR(A16)+1,2),YEAR(A16)-1&amp;"-"&amp;RIGHT(YEAR(A16),2)))</f>
      </c>
    </row>
    <row r="17" spans="1:10" x14ac:dyDescent="0.25">
      <c r="A17" s="10"/>
      <c r="B17" s="11"/>
      <c r="C17" s="11"/>
      <c r="D17" s="11"/>
      <c r="E17" s="12"/>
      <c r="F17" s="12"/>
      <c r="G17" s="12"/>
      <c r="H17" s="12"/>
      <c r="I17" s="13">
        <f>IF(E17="","",E17-F17-G17-H17)</f>
      </c>
      <c r="J17" s="14">
        <f>IF(A17="","",IF(A17&gt;=DATE(YEAR(A17),4,6),YEAR(A17)&amp;"-"&amp;RIGHT(YEAR(A17)+1,2),YEAR(A17)-1&amp;"-"&amp;RIGHT(YEAR(A17),2)))</f>
      </c>
    </row>
    <row r="18" spans="1:10" x14ac:dyDescent="0.25">
      <c r="A18" s="10"/>
      <c r="B18" s="11"/>
      <c r="C18" s="11"/>
      <c r="D18" s="11"/>
      <c r="E18" s="12"/>
      <c r="F18" s="12"/>
      <c r="G18" s="12"/>
      <c r="H18" s="12"/>
      <c r="I18" s="13">
        <f>IF(E18="","",E18-F18-G18-H18)</f>
      </c>
      <c r="J18" s="14">
        <f>IF(A18="","",IF(A18&gt;=DATE(YEAR(A18),4,6),YEAR(A18)&amp;"-"&amp;RIGHT(YEAR(A18)+1,2),YEAR(A18)-1&amp;"-"&amp;RIGHT(YEAR(A18),2)))</f>
      </c>
    </row>
    <row r="19" spans="1:10" x14ac:dyDescent="0.25">
      <c r="A19" s="10"/>
      <c r="B19" s="11"/>
      <c r="C19" s="11"/>
      <c r="D19" s="11"/>
      <c r="E19" s="12"/>
      <c r="F19" s="12"/>
      <c r="G19" s="12"/>
      <c r="H19" s="12"/>
      <c r="I19" s="13">
        <f>IF(E19="","",E19-F19-G19-H19)</f>
      </c>
      <c r="J19" s="14">
        <f>IF(A19="","",IF(A19&gt;=DATE(YEAR(A19),4,6),YEAR(A19)&amp;"-"&amp;RIGHT(YEAR(A19)+1,2),YEAR(A19)-1&amp;"-"&amp;RIGHT(YEAR(A19),2)))</f>
      </c>
    </row>
    <row r="20" spans="1:10" x14ac:dyDescent="0.25">
      <c r="A20" s="10"/>
      <c r="B20" s="11"/>
      <c r="C20" s="11"/>
      <c r="D20" s="11"/>
      <c r="E20" s="12"/>
      <c r="F20" s="12"/>
      <c r="G20" s="12"/>
      <c r="H20" s="12"/>
      <c r="I20" s="13">
        <f>IF(E20="","",E20-F20-G20-H20)</f>
      </c>
      <c r="J20" s="14">
        <f>IF(A20="","",IF(A20&gt;=DATE(YEAR(A20),4,6),YEAR(A20)&amp;"-"&amp;RIGHT(YEAR(A20)+1,2),YEAR(A20)-1&amp;"-"&amp;RIGHT(YEAR(A20),2)))</f>
      </c>
    </row>
    <row r="21" spans="1:10" x14ac:dyDescent="0.25">
      <c r="A21" s="10"/>
      <c r="B21" s="11"/>
      <c r="C21" s="11"/>
      <c r="D21" s="11"/>
      <c r="E21" s="12"/>
      <c r="F21" s="12"/>
      <c r="G21" s="12"/>
      <c r="H21" s="12"/>
      <c r="I21" s="13">
        <f>IF(E21="","",E21-F21-G21-H21)</f>
      </c>
      <c r="J21" s="14">
        <f>IF(A21="","",IF(A21&gt;=DATE(YEAR(A21),4,6),YEAR(A21)&amp;"-"&amp;RIGHT(YEAR(A21)+1,2),YEAR(A21)-1&amp;"-"&amp;RIGHT(YEAR(A21),2)))</f>
      </c>
    </row>
    <row r="22" spans="1:10" x14ac:dyDescent="0.25">
      <c r="A22" s="10"/>
      <c r="B22" s="11"/>
      <c r="C22" s="11"/>
      <c r="D22" s="11"/>
      <c r="E22" s="12"/>
      <c r="F22" s="12"/>
      <c r="G22" s="12"/>
      <c r="H22" s="12"/>
      <c r="I22" s="13">
        <f>IF(E22="","",E22-F22-G22-H22)</f>
      </c>
      <c r="J22" s="14">
        <f>IF(A22="","",IF(A22&gt;=DATE(YEAR(A22),4,6),YEAR(A22)&amp;"-"&amp;RIGHT(YEAR(A22)+1,2),YEAR(A22)-1&amp;"-"&amp;RIGHT(YEAR(A22),2)))</f>
      </c>
    </row>
    <row r="23" spans="1:10" x14ac:dyDescent="0.25">
      <c r="A23" s="10"/>
      <c r="B23" s="11"/>
      <c r="C23" s="11"/>
      <c r="D23" s="11"/>
      <c r="E23" s="12"/>
      <c r="F23" s="12"/>
      <c r="G23" s="12"/>
      <c r="H23" s="12"/>
      <c r="I23" s="13">
        <f>IF(E23="","",E23-F23-G23-H23)</f>
      </c>
      <c r="J23" s="14">
        <f>IF(A23="","",IF(A23&gt;=DATE(YEAR(A23),4,6),YEAR(A23)&amp;"-"&amp;RIGHT(YEAR(A23)+1,2),YEAR(A23)-1&amp;"-"&amp;RIGHT(YEAR(A23),2)))</f>
      </c>
    </row>
    <row r="24" spans="1:10" x14ac:dyDescent="0.25">
      <c r="A24" s="10"/>
      <c r="B24" s="11"/>
      <c r="C24" s="11"/>
      <c r="D24" s="11"/>
      <c r="E24" s="12"/>
      <c r="F24" s="12"/>
      <c r="G24" s="12"/>
      <c r="H24" s="12"/>
      <c r="I24" s="13">
        <f>IF(E24="","",E24-F24-G24-H24)</f>
      </c>
      <c r="J24" s="14">
        <f>IF(A24="","",IF(A24&gt;=DATE(YEAR(A24),4,6),YEAR(A24)&amp;"-"&amp;RIGHT(YEAR(A24)+1,2),YEAR(A24)-1&amp;"-"&amp;RIGHT(YEAR(A24),2)))</f>
      </c>
    </row>
    <row r="25" spans="1:10" x14ac:dyDescent="0.25">
      <c r="A25" s="10"/>
      <c r="B25" s="11"/>
      <c r="C25" s="11"/>
      <c r="D25" s="11"/>
      <c r="E25" s="12"/>
      <c r="F25" s="12"/>
      <c r="G25" s="12"/>
      <c r="H25" s="12"/>
      <c r="I25" s="13">
        <f>IF(E25="","",E25-F25-G25-H25)</f>
      </c>
      <c r="J25" s="14">
        <f>IF(A25="","",IF(A25&gt;=DATE(YEAR(A25),4,6),YEAR(A25)&amp;"-"&amp;RIGHT(YEAR(A25)+1,2),YEAR(A25)-1&amp;"-"&amp;RIGHT(YEAR(A25),2)))</f>
      </c>
    </row>
    <row r="26" spans="1:10" x14ac:dyDescent="0.25">
      <c r="A26" s="10"/>
      <c r="B26" s="11"/>
      <c r="C26" s="11"/>
      <c r="D26" s="11"/>
      <c r="E26" s="12"/>
      <c r="F26" s="12"/>
      <c r="G26" s="12"/>
      <c r="H26" s="12"/>
      <c r="I26" s="13">
        <f>IF(E26="","",E26-F26-G26-H26)</f>
      </c>
      <c r="J26" s="14">
        <f>IF(A26="","",IF(A26&gt;=DATE(YEAR(A26),4,6),YEAR(A26)&amp;"-"&amp;RIGHT(YEAR(A26)+1,2),YEAR(A26)-1&amp;"-"&amp;RIGHT(YEAR(A26),2)))</f>
      </c>
    </row>
    <row r="27" spans="1:10" x14ac:dyDescent="0.25">
      <c r="A27" s="10"/>
      <c r="B27" s="11"/>
      <c r="C27" s="11"/>
      <c r="D27" s="11"/>
      <c r="E27" s="12"/>
      <c r="F27" s="12"/>
      <c r="G27" s="12"/>
      <c r="H27" s="12"/>
      <c r="I27" s="13">
        <f>IF(E27="","",E27-F27-G27-H27)</f>
      </c>
      <c r="J27" s="14">
        <f>IF(A27="","",IF(A27&gt;=DATE(YEAR(A27),4,6),YEAR(A27)&amp;"-"&amp;RIGHT(YEAR(A27)+1,2),YEAR(A27)-1&amp;"-"&amp;RIGHT(YEAR(A27),2)))</f>
      </c>
    </row>
    <row r="28" spans="1:10" x14ac:dyDescent="0.25">
      <c r="A28" s="10"/>
      <c r="B28" s="11"/>
      <c r="C28" s="11"/>
      <c r="D28" s="11"/>
      <c r="E28" s="12"/>
      <c r="F28" s="12"/>
      <c r="G28" s="12"/>
      <c r="H28" s="12"/>
      <c r="I28" s="13">
        <f>IF(E28="","",E28-F28-G28-H28)</f>
      </c>
      <c r="J28" s="14">
        <f>IF(A28="","",IF(A28&gt;=DATE(YEAR(A28),4,6),YEAR(A28)&amp;"-"&amp;RIGHT(YEAR(A28)+1,2),YEAR(A28)-1&amp;"-"&amp;RIGHT(YEAR(A28),2)))</f>
      </c>
    </row>
    <row r="29" spans="1:10" x14ac:dyDescent="0.25">
      <c r="A29" s="10"/>
      <c r="B29" s="11"/>
      <c r="C29" s="11"/>
      <c r="D29" s="11"/>
      <c r="E29" s="12"/>
      <c r="F29" s="12"/>
      <c r="G29" s="12"/>
      <c r="H29" s="12"/>
      <c r="I29" s="13">
        <f>IF(E29="","",E29-F29-G29-H29)</f>
      </c>
      <c r="J29" s="14">
        <f>IF(A29="","",IF(A29&gt;=DATE(YEAR(A29),4,6),YEAR(A29)&amp;"-"&amp;RIGHT(YEAR(A29)+1,2),YEAR(A29)-1&amp;"-"&amp;RIGHT(YEAR(A29),2)))</f>
      </c>
    </row>
    <row r="30" spans="1:10" x14ac:dyDescent="0.25">
      <c r="A30" s="10"/>
      <c r="B30" s="11"/>
      <c r="C30" s="11"/>
      <c r="D30" s="11"/>
      <c r="E30" s="12"/>
      <c r="F30" s="12"/>
      <c r="G30" s="12"/>
      <c r="H30" s="12"/>
      <c r="I30" s="13">
        <f>IF(E30="","",E30-F30-G30-H30)</f>
      </c>
      <c r="J30" s="14">
        <f>IF(A30="","",IF(A30&gt;=DATE(YEAR(A30),4,6),YEAR(A30)&amp;"-"&amp;RIGHT(YEAR(A30)+1,2),YEAR(A30)-1&amp;"-"&amp;RIGHT(YEAR(A30),2)))</f>
      </c>
    </row>
    <row r="31" spans="1:10" x14ac:dyDescent="0.25">
      <c r="A31" s="10"/>
      <c r="B31" s="11"/>
      <c r="C31" s="11"/>
      <c r="D31" s="11"/>
      <c r="E31" s="12"/>
      <c r="F31" s="12"/>
      <c r="G31" s="12"/>
      <c r="H31" s="12"/>
      <c r="I31" s="13">
        <f>IF(E31="","",E31-F31-G31-H31)</f>
      </c>
      <c r="J31" s="14">
        <f>IF(A31="","",IF(A31&gt;=DATE(YEAR(A31),4,6),YEAR(A31)&amp;"-"&amp;RIGHT(YEAR(A31)+1,2),YEAR(A31)-1&amp;"-"&amp;RIGHT(YEAR(A31),2)))</f>
      </c>
    </row>
    <row r="32" spans="1:10" x14ac:dyDescent="0.25">
      <c r="A32" s="10"/>
      <c r="B32" s="11"/>
      <c r="C32" s="11"/>
      <c r="D32" s="11"/>
      <c r="E32" s="12"/>
      <c r="F32" s="12"/>
      <c r="G32" s="12"/>
      <c r="H32" s="12"/>
      <c r="I32" s="13">
        <f>IF(E32="","",E32-F32-G32-H32)</f>
      </c>
      <c r="J32" s="14">
        <f>IF(A32="","",IF(A32&gt;=DATE(YEAR(A32),4,6),YEAR(A32)&amp;"-"&amp;RIGHT(YEAR(A32)+1,2),YEAR(A32)-1&amp;"-"&amp;RIGHT(YEAR(A32),2)))</f>
      </c>
    </row>
    <row r="33" spans="1:10" x14ac:dyDescent="0.25">
      <c r="A33" s="10"/>
      <c r="B33" s="11"/>
      <c r="C33" s="11"/>
      <c r="D33" s="11"/>
      <c r="E33" s="12"/>
      <c r="F33" s="12"/>
      <c r="G33" s="12"/>
      <c r="H33" s="12"/>
      <c r="I33" s="13">
        <f>IF(E33="","",E33-F33-G33-H33)</f>
      </c>
      <c r="J33" s="14">
        <f>IF(A33="","",IF(A33&gt;=DATE(YEAR(A33),4,6),YEAR(A33)&amp;"-"&amp;RIGHT(YEAR(A33)+1,2),YEAR(A33)-1&amp;"-"&amp;RIGHT(YEAR(A33),2)))</f>
      </c>
    </row>
    <row r="34" spans="1:10" x14ac:dyDescent="0.25">
      <c r="A34" s="10"/>
      <c r="B34" s="11"/>
      <c r="C34" s="11"/>
      <c r="D34" s="11"/>
      <c r="E34" s="12"/>
      <c r="F34" s="12"/>
      <c r="G34" s="12"/>
      <c r="H34" s="12"/>
      <c r="I34" s="13">
        <f>IF(E34="","",E34-F34-G34-H34)</f>
      </c>
      <c r="J34" s="14">
        <f>IF(A34="","",IF(A34&gt;=DATE(YEAR(A34),4,6),YEAR(A34)&amp;"-"&amp;RIGHT(YEAR(A34)+1,2),YEAR(A34)-1&amp;"-"&amp;RIGHT(YEAR(A34),2)))</f>
      </c>
    </row>
    <row r="35" spans="1:10" x14ac:dyDescent="0.25">
      <c r="A35" s="10"/>
      <c r="B35" s="11"/>
      <c r="C35" s="11"/>
      <c r="D35" s="11"/>
      <c r="E35" s="12"/>
      <c r="F35" s="12"/>
      <c r="G35" s="12"/>
      <c r="H35" s="12"/>
      <c r="I35" s="13">
        <f>IF(E35="","",E35-F35-G35-H35)</f>
      </c>
      <c r="J35" s="14">
        <f>IF(A35="","",IF(A35&gt;=DATE(YEAR(A35),4,6),YEAR(A35)&amp;"-"&amp;RIGHT(YEAR(A35)+1,2),YEAR(A35)-1&amp;"-"&amp;RIGHT(YEAR(A35),2)))</f>
      </c>
    </row>
    <row r="36" spans="1:10" x14ac:dyDescent="0.25">
      <c r="A36" s="10"/>
      <c r="B36" s="11"/>
      <c r="C36" s="11"/>
      <c r="D36" s="11"/>
      <c r="E36" s="12"/>
      <c r="F36" s="12"/>
      <c r="G36" s="12"/>
      <c r="H36" s="12"/>
      <c r="I36" s="13">
        <f>IF(E36="","",E36-F36-G36-H36)</f>
      </c>
      <c r="J36" s="14">
        <f>IF(A36="","",IF(A36&gt;=DATE(YEAR(A36),4,6),YEAR(A36)&amp;"-"&amp;RIGHT(YEAR(A36)+1,2),YEAR(A36)-1&amp;"-"&amp;RIGHT(YEAR(A36),2)))</f>
      </c>
    </row>
    <row r="37" spans="1:10" x14ac:dyDescent="0.25">
      <c r="A37" s="10"/>
      <c r="B37" s="11"/>
      <c r="C37" s="11"/>
      <c r="D37" s="11"/>
      <c r="E37" s="12"/>
      <c r="F37" s="12"/>
      <c r="G37" s="12"/>
      <c r="H37" s="12"/>
      <c r="I37" s="13">
        <f>IF(E37="","",E37-F37-G37-H37)</f>
      </c>
      <c r="J37" s="14">
        <f>IF(A37="","",IF(A37&gt;=DATE(YEAR(A37),4,6),YEAR(A37)&amp;"-"&amp;RIGHT(YEAR(A37)+1,2),YEAR(A37)-1&amp;"-"&amp;RIGHT(YEAR(A37),2)))</f>
      </c>
    </row>
    <row r="38" spans="1:10" x14ac:dyDescent="0.25">
      <c r="A38" s="10"/>
      <c r="B38" s="11"/>
      <c r="C38" s="11"/>
      <c r="D38" s="11"/>
      <c r="E38" s="12"/>
      <c r="F38" s="12"/>
      <c r="G38" s="12"/>
      <c r="H38" s="12"/>
      <c r="I38" s="13">
        <f>IF(E38="","",E38-F38-G38-H38)</f>
      </c>
      <c r="J38" s="14">
        <f>IF(A38="","",IF(A38&gt;=DATE(YEAR(A38),4,6),YEAR(A38)&amp;"-"&amp;RIGHT(YEAR(A38)+1,2),YEAR(A38)-1&amp;"-"&amp;RIGHT(YEAR(A38),2)))</f>
      </c>
    </row>
    <row r="39" spans="1:10" x14ac:dyDescent="0.25">
      <c r="A39" s="10"/>
      <c r="B39" s="11"/>
      <c r="C39" s="11"/>
      <c r="D39" s="11"/>
      <c r="E39" s="12"/>
      <c r="F39" s="12"/>
      <c r="G39" s="12"/>
      <c r="H39" s="12"/>
      <c r="I39" s="13">
        <f>IF(E39="","",E39-F39-G39-H39)</f>
      </c>
      <c r="J39" s="14">
        <f>IF(A39="","",IF(A39&gt;=DATE(YEAR(A39),4,6),YEAR(A39)&amp;"-"&amp;RIGHT(YEAR(A39)+1,2),YEAR(A39)-1&amp;"-"&amp;RIGHT(YEAR(A39),2)))</f>
      </c>
    </row>
    <row r="40" spans="1:10" x14ac:dyDescent="0.25">
      <c r="A40" s="10"/>
      <c r="B40" s="11"/>
      <c r="C40" s="11"/>
      <c r="D40" s="11"/>
      <c r="E40" s="12"/>
      <c r="F40" s="12"/>
      <c r="G40" s="12"/>
      <c r="H40" s="12"/>
      <c r="I40" s="13">
        <f>IF(E40="","",E40-F40-G40-H40)</f>
      </c>
      <c r="J40" s="14">
        <f>IF(A40="","",IF(A40&gt;=DATE(YEAR(A40),4,6),YEAR(A40)&amp;"-"&amp;RIGHT(YEAR(A40)+1,2),YEAR(A40)-1&amp;"-"&amp;RIGHT(YEAR(A40),2)))</f>
      </c>
    </row>
    <row r="41" spans="1:10" x14ac:dyDescent="0.25">
      <c r="A41" s="10"/>
      <c r="B41" s="11"/>
      <c r="C41" s="11"/>
      <c r="D41" s="11"/>
      <c r="E41" s="12"/>
      <c r="F41" s="12"/>
      <c r="G41" s="12"/>
      <c r="H41" s="12"/>
      <c r="I41" s="13">
        <f>IF(E41="","",E41-F41-G41-H41)</f>
      </c>
      <c r="J41" s="14">
        <f>IF(A41="","",IF(A41&gt;=DATE(YEAR(A41),4,6),YEAR(A41)&amp;"-"&amp;RIGHT(YEAR(A41)+1,2),YEAR(A41)-1&amp;"-"&amp;RIGHT(YEAR(A41),2)))</f>
      </c>
    </row>
    <row r="42" spans="1:10" x14ac:dyDescent="0.25">
      <c r="A42" s="10"/>
      <c r="B42" s="11"/>
      <c r="C42" s="11"/>
      <c r="D42" s="11"/>
      <c r="E42" s="12"/>
      <c r="F42" s="12"/>
      <c r="G42" s="12"/>
      <c r="H42" s="12"/>
      <c r="I42" s="13">
        <f>IF(E42="","",E42-F42-G42-H42)</f>
      </c>
      <c r="J42" s="14">
        <f>IF(A42="","",IF(A42&gt;=DATE(YEAR(A42),4,6),YEAR(A42)&amp;"-"&amp;RIGHT(YEAR(A42)+1,2),YEAR(A42)-1&amp;"-"&amp;RIGHT(YEAR(A42),2)))</f>
      </c>
    </row>
    <row r="43" spans="1:10" x14ac:dyDescent="0.25">
      <c r="A43" s="10"/>
      <c r="B43" s="11"/>
      <c r="C43" s="11"/>
      <c r="D43" s="11"/>
      <c r="E43" s="12"/>
      <c r="F43" s="12"/>
      <c r="G43" s="12"/>
      <c r="H43" s="12"/>
      <c r="I43" s="13">
        <f>IF(E43="","",E43-F43-G43-H43)</f>
      </c>
      <c r="J43" s="14">
        <f>IF(A43="","",IF(A43&gt;=DATE(YEAR(A43),4,6),YEAR(A43)&amp;"-"&amp;RIGHT(YEAR(A43)+1,2),YEAR(A43)-1&amp;"-"&amp;RIGHT(YEAR(A43),2)))</f>
      </c>
    </row>
    <row r="44" spans="1:10" x14ac:dyDescent="0.25">
      <c r="A44" s="10"/>
      <c r="B44" s="11"/>
      <c r="C44" s="11"/>
      <c r="D44" s="11"/>
      <c r="E44" s="12"/>
      <c r="F44" s="12"/>
      <c r="G44" s="12"/>
      <c r="H44" s="12"/>
      <c r="I44" s="13">
        <f>IF(E44="","",E44-F44-G44-H44)</f>
      </c>
      <c r="J44" s="14">
        <f>IF(A44="","",IF(A44&gt;=DATE(YEAR(A44),4,6),YEAR(A44)&amp;"-"&amp;RIGHT(YEAR(A44)+1,2),YEAR(A44)-1&amp;"-"&amp;RIGHT(YEAR(A44),2)))</f>
      </c>
    </row>
    <row r="45" spans="1:10" x14ac:dyDescent="0.25">
      <c r="A45" s="10"/>
      <c r="B45" s="11"/>
      <c r="C45" s="11"/>
      <c r="D45" s="11"/>
      <c r="E45" s="12"/>
      <c r="F45" s="12"/>
      <c r="G45" s="12"/>
      <c r="H45" s="12"/>
      <c r="I45" s="13">
        <f>IF(E45="","",E45-F45-G45-H45)</f>
      </c>
      <c r="J45" s="14">
        <f>IF(A45="","",IF(A45&gt;=DATE(YEAR(A45),4,6),YEAR(A45)&amp;"-"&amp;RIGHT(YEAR(A45)+1,2),YEAR(A45)-1&amp;"-"&amp;RIGHT(YEAR(A45),2)))</f>
      </c>
    </row>
    <row r="46" spans="1:10" x14ac:dyDescent="0.25">
      <c r="A46" s="10"/>
      <c r="B46" s="11"/>
      <c r="C46" s="11"/>
      <c r="D46" s="11"/>
      <c r="E46" s="12"/>
      <c r="F46" s="12"/>
      <c r="G46" s="12"/>
      <c r="H46" s="12"/>
      <c r="I46" s="13">
        <f>IF(E46="","",E46-F46-G46-H46)</f>
      </c>
      <c r="J46" s="14">
        <f>IF(A46="","",IF(A46&gt;=DATE(YEAR(A46),4,6),YEAR(A46)&amp;"-"&amp;RIGHT(YEAR(A46)+1,2),YEAR(A46)-1&amp;"-"&amp;RIGHT(YEAR(A46),2)))</f>
      </c>
    </row>
    <row r="47" spans="1:10" x14ac:dyDescent="0.25">
      <c r="A47" s="10"/>
      <c r="B47" s="11"/>
      <c r="C47" s="11"/>
      <c r="D47" s="11"/>
      <c r="E47" s="12"/>
      <c r="F47" s="12"/>
      <c r="G47" s="12"/>
      <c r="H47" s="12"/>
      <c r="I47" s="13">
        <f>IF(E47="","",E47-F47-G47-H47)</f>
      </c>
      <c r="J47" s="14">
        <f>IF(A47="","",IF(A47&gt;=DATE(YEAR(A47),4,6),YEAR(A47)&amp;"-"&amp;RIGHT(YEAR(A47)+1,2),YEAR(A47)-1&amp;"-"&amp;RIGHT(YEAR(A47),2)))</f>
      </c>
    </row>
    <row r="48" spans="1:10" x14ac:dyDescent="0.25">
      <c r="A48" s="10"/>
      <c r="B48" s="11"/>
      <c r="C48" s="11"/>
      <c r="D48" s="11"/>
      <c r="E48" s="12"/>
      <c r="F48" s="12"/>
      <c r="G48" s="12"/>
      <c r="H48" s="12"/>
      <c r="I48" s="13">
        <f>IF(E48="","",E48-F48-G48-H48)</f>
      </c>
      <c r="J48" s="14">
        <f>IF(A48="","",IF(A48&gt;=DATE(YEAR(A48),4,6),YEAR(A48)&amp;"-"&amp;RIGHT(YEAR(A48)+1,2),YEAR(A48)-1&amp;"-"&amp;RIGHT(YEAR(A48),2)))</f>
      </c>
    </row>
    <row r="49" spans="1:10" x14ac:dyDescent="0.25">
      <c r="A49" s="10"/>
      <c r="B49" s="11"/>
      <c r="C49" s="11"/>
      <c r="D49" s="11"/>
      <c r="E49" s="12"/>
      <c r="F49" s="12"/>
      <c r="G49" s="12"/>
      <c r="H49" s="12"/>
      <c r="I49" s="13">
        <f>IF(E49="","",E49-F49-G49-H49)</f>
      </c>
      <c r="J49" s="14">
        <f>IF(A49="","",IF(A49&gt;=DATE(YEAR(A49),4,6),YEAR(A49)&amp;"-"&amp;RIGHT(YEAR(A49)+1,2),YEAR(A49)-1&amp;"-"&amp;RIGHT(YEAR(A49),2)))</f>
      </c>
    </row>
    <row r="50" spans="1:10" x14ac:dyDescent="0.25">
      <c r="A50" s="10"/>
      <c r="B50" s="11"/>
      <c r="C50" s="11"/>
      <c r="D50" s="11"/>
      <c r="E50" s="12"/>
      <c r="F50" s="12"/>
      <c r="G50" s="12"/>
      <c r="H50" s="12"/>
      <c r="I50" s="13">
        <f>IF(E50="","",E50-F50-G50-H50)</f>
      </c>
      <c r="J50" s="14">
        <f>IF(A50="","",IF(A50&gt;=DATE(YEAR(A50),4,6),YEAR(A50)&amp;"-"&amp;RIGHT(YEAR(A50)+1,2),YEAR(A50)-1&amp;"-"&amp;RIGHT(YEAR(A50),2)))</f>
      </c>
    </row>
    <row r="51" spans="1:10" x14ac:dyDescent="0.25">
      <c r="A51" s="10"/>
      <c r="B51" s="11"/>
      <c r="C51" s="11"/>
      <c r="D51" s="11"/>
      <c r="E51" s="12"/>
      <c r="F51" s="12"/>
      <c r="G51" s="12"/>
      <c r="H51" s="12"/>
      <c r="I51" s="13">
        <f>IF(E51="","",E51-F51-G51-H51)</f>
      </c>
      <c r="J51" s="14">
        <f>IF(A51="","",IF(A51&gt;=DATE(YEAR(A51),4,6),YEAR(A51)&amp;"-"&amp;RIGHT(YEAR(A51)+1,2),YEAR(A51)-1&amp;"-"&amp;RIGHT(YEAR(A51),2)))</f>
      </c>
    </row>
    <row r="52" spans="1:10" x14ac:dyDescent="0.25">
      <c r="A52" s="10"/>
      <c r="B52" s="11"/>
      <c r="C52" s="11"/>
      <c r="D52" s="11"/>
      <c r="E52" s="12"/>
      <c r="F52" s="12"/>
      <c r="G52" s="12"/>
      <c r="H52" s="12"/>
      <c r="I52" s="13">
        <f>IF(E52="","",E52-F52-G52-H52)</f>
      </c>
      <c r="J52" s="14">
        <f>IF(A52="","",IF(A52&gt;=DATE(YEAR(A52),4,6),YEAR(A52)&amp;"-"&amp;RIGHT(YEAR(A52)+1,2),YEAR(A52)-1&amp;"-"&amp;RIGHT(YEAR(A52),2)))</f>
      </c>
    </row>
    <row r="53" spans="1:10" x14ac:dyDescent="0.25">
      <c r="A53" s="10"/>
      <c r="B53" s="11"/>
      <c r="C53" s="11"/>
      <c r="D53" s="11"/>
      <c r="E53" s="12"/>
      <c r="F53" s="12"/>
      <c r="G53" s="12"/>
      <c r="H53" s="12"/>
      <c r="I53" s="13">
        <f>IF(E53="","",E53-F53-G53-H53)</f>
      </c>
      <c r="J53" s="14">
        <f>IF(A53="","",IF(A53&gt;=DATE(YEAR(A53),4,6),YEAR(A53)&amp;"-"&amp;RIGHT(YEAR(A53)+1,2),YEAR(A53)-1&amp;"-"&amp;RIGHT(YEAR(A53),2)))</f>
      </c>
    </row>
    <row r="54" spans="1:10" x14ac:dyDescent="0.25">
      <c r="A54" s="10"/>
      <c r="B54" s="11"/>
      <c r="C54" s="11"/>
      <c r="D54" s="11"/>
      <c r="E54" s="12"/>
      <c r="F54" s="12"/>
      <c r="G54" s="12"/>
      <c r="H54" s="12"/>
      <c r="I54" s="13">
        <f>IF(E54="","",E54-F54-G54-H54)</f>
      </c>
      <c r="J54" s="14">
        <f>IF(A54="","",IF(A54&gt;=DATE(YEAR(A54),4,6),YEAR(A54)&amp;"-"&amp;RIGHT(YEAR(A54)+1,2),YEAR(A54)-1&amp;"-"&amp;RIGHT(YEAR(A54),2)))</f>
      </c>
    </row>
    <row r="55" spans="1:10" x14ac:dyDescent="0.25">
      <c r="A55" s="10"/>
      <c r="B55" s="11"/>
      <c r="C55" s="11"/>
      <c r="D55" s="11"/>
      <c r="E55" s="12"/>
      <c r="F55" s="12"/>
      <c r="G55" s="12"/>
      <c r="H55" s="12"/>
      <c r="I55" s="13">
        <f>IF(E55="","",E55-F55-G55-H55)</f>
      </c>
      <c r="J55" s="14">
        <f>IF(A55="","",IF(A55&gt;=DATE(YEAR(A55),4,6),YEAR(A55)&amp;"-"&amp;RIGHT(YEAR(A55)+1,2),YEAR(A55)-1&amp;"-"&amp;RIGHT(YEAR(A55),2)))</f>
      </c>
    </row>
    <row r="56" spans="1:10" x14ac:dyDescent="0.25">
      <c r="A56" s="10"/>
      <c r="B56" s="11"/>
      <c r="C56" s="11"/>
      <c r="D56" s="11"/>
      <c r="E56" s="12"/>
      <c r="F56" s="12"/>
      <c r="G56" s="12"/>
      <c r="H56" s="12"/>
      <c r="I56" s="13">
        <f>IF(E56="","",E56-F56-G56-H56)</f>
      </c>
      <c r="J56" s="14">
        <f>IF(A56="","",IF(A56&gt;=DATE(YEAR(A56),4,6),YEAR(A56)&amp;"-"&amp;RIGHT(YEAR(A56)+1,2),YEAR(A56)-1&amp;"-"&amp;RIGHT(YEAR(A56),2)))</f>
      </c>
    </row>
    <row r="57" spans="1:10" x14ac:dyDescent="0.25">
      <c r="A57" s="10"/>
      <c r="B57" s="11"/>
      <c r="C57" s="11"/>
      <c r="D57" s="11"/>
      <c r="E57" s="12"/>
      <c r="F57" s="12"/>
      <c r="G57" s="12"/>
      <c r="H57" s="12"/>
      <c r="I57" s="13">
        <f>IF(E57="","",E57-F57-G57-H57)</f>
      </c>
      <c r="J57" s="14">
        <f>IF(A57="","",IF(A57&gt;=DATE(YEAR(A57),4,6),YEAR(A57)&amp;"-"&amp;RIGHT(YEAR(A57)+1,2),YEAR(A57)-1&amp;"-"&amp;RIGHT(YEAR(A57),2)))</f>
      </c>
    </row>
    <row r="58" spans="1:10" x14ac:dyDescent="0.25">
      <c r="A58" s="10"/>
      <c r="B58" s="11"/>
      <c r="C58" s="11"/>
      <c r="D58" s="11"/>
      <c r="E58" s="12"/>
      <c r="F58" s="12"/>
      <c r="G58" s="12"/>
      <c r="H58" s="12"/>
      <c r="I58" s="13">
        <f>IF(E58="","",E58-F58-G58-H58)</f>
      </c>
      <c r="J58" s="14">
        <f>IF(A58="","",IF(A58&gt;=DATE(YEAR(A58),4,6),YEAR(A58)&amp;"-"&amp;RIGHT(YEAR(A58)+1,2),YEAR(A58)-1&amp;"-"&amp;RIGHT(YEAR(A58),2)))</f>
      </c>
    </row>
    <row r="59" spans="1:10" x14ac:dyDescent="0.25">
      <c r="A59" s="10"/>
      <c r="B59" s="11"/>
      <c r="C59" s="11"/>
      <c r="D59" s="11"/>
      <c r="E59" s="12"/>
      <c r="F59" s="12"/>
      <c r="G59" s="12"/>
      <c r="H59" s="12"/>
      <c r="I59" s="13">
        <f>IF(E59="","",E59-F59-G59-H59)</f>
      </c>
      <c r="J59" s="14">
        <f>IF(A59="","",IF(A59&gt;=DATE(YEAR(A59),4,6),YEAR(A59)&amp;"-"&amp;RIGHT(YEAR(A59)+1,2),YEAR(A59)-1&amp;"-"&amp;RIGHT(YEAR(A59),2)))</f>
      </c>
    </row>
    <row r="60" spans="1:10" x14ac:dyDescent="0.25">
      <c r="A60" s="10"/>
      <c r="B60" s="11"/>
      <c r="C60" s="11"/>
      <c r="D60" s="11"/>
      <c r="E60" s="12"/>
      <c r="F60" s="12"/>
      <c r="G60" s="12"/>
      <c r="H60" s="12"/>
      <c r="I60" s="13">
        <f>IF(E60="","",E60-F60-G60-H60)</f>
      </c>
      <c r="J60" s="14">
        <f>IF(A60="","",IF(A60&gt;=DATE(YEAR(A60),4,6),YEAR(A60)&amp;"-"&amp;RIGHT(YEAR(A60)+1,2),YEAR(A60)-1&amp;"-"&amp;RIGHT(YEAR(A60),2)))</f>
      </c>
    </row>
    <row r="61" spans="1:10" x14ac:dyDescent="0.25">
      <c r="A61" s="10"/>
      <c r="B61" s="11"/>
      <c r="C61" s="11"/>
      <c r="D61" s="11"/>
      <c r="E61" s="12"/>
      <c r="F61" s="12"/>
      <c r="G61" s="12"/>
      <c r="H61" s="12"/>
      <c r="I61" s="13">
        <f>IF(E61="","",E61-F61-G61-H61)</f>
      </c>
      <c r="J61" s="14">
        <f>IF(A61="","",IF(A61&gt;=DATE(YEAR(A61),4,6),YEAR(A61)&amp;"-"&amp;RIGHT(YEAR(A61)+1,2),YEAR(A61)-1&amp;"-"&amp;RIGHT(YEAR(A61),2)))</f>
      </c>
    </row>
    <row r="62" spans="1:10" x14ac:dyDescent="0.25">
      <c r="A62" s="10"/>
      <c r="B62" s="11"/>
      <c r="C62" s="11"/>
      <c r="D62" s="11"/>
      <c r="E62" s="12"/>
      <c r="F62" s="12"/>
      <c r="G62" s="12"/>
      <c r="H62" s="12"/>
      <c r="I62" s="13">
        <f>IF(E62="","",E62-F62-G62-H62)</f>
      </c>
      <c r="J62" s="14">
        <f>IF(A62="","",IF(A62&gt;=DATE(YEAR(A62),4,6),YEAR(A62)&amp;"-"&amp;RIGHT(YEAR(A62)+1,2),YEAR(A62)-1&amp;"-"&amp;RIGHT(YEAR(A62),2)))</f>
      </c>
    </row>
    <row r="63" spans="1:10" x14ac:dyDescent="0.25">
      <c r="A63" s="10"/>
      <c r="B63" s="11"/>
      <c r="C63" s="11"/>
      <c r="D63" s="11"/>
      <c r="E63" s="12"/>
      <c r="F63" s="12"/>
      <c r="G63" s="12"/>
      <c r="H63" s="12"/>
      <c r="I63" s="13">
        <f>IF(E63="","",E63-F63-G63-H63)</f>
      </c>
      <c r="J63" s="14">
        <f>IF(A63="","",IF(A63&gt;=DATE(YEAR(A63),4,6),YEAR(A63)&amp;"-"&amp;RIGHT(YEAR(A63)+1,2),YEAR(A63)-1&amp;"-"&amp;RIGHT(YEAR(A63),2)))</f>
      </c>
    </row>
    <row r="64" spans="1:10" x14ac:dyDescent="0.25">
      <c r="A64" s="10"/>
      <c r="B64" s="11"/>
      <c r="C64" s="11"/>
      <c r="D64" s="11"/>
      <c r="E64" s="12"/>
      <c r="F64" s="12"/>
      <c r="G64" s="12"/>
      <c r="H64" s="12"/>
      <c r="I64" s="13">
        <f>IF(E64="","",E64-F64-G64-H64)</f>
      </c>
      <c r="J64" s="14">
        <f>IF(A64="","",IF(A64&gt;=DATE(YEAR(A64),4,6),YEAR(A64)&amp;"-"&amp;RIGHT(YEAR(A64)+1,2),YEAR(A64)-1&amp;"-"&amp;RIGHT(YEAR(A64),2)))</f>
      </c>
    </row>
    <row r="65" spans="1:10" x14ac:dyDescent="0.25">
      <c r="A65" s="10"/>
      <c r="B65" s="11"/>
      <c r="C65" s="11"/>
      <c r="D65" s="11"/>
      <c r="E65" s="12"/>
      <c r="F65" s="12"/>
      <c r="G65" s="12"/>
      <c r="H65" s="12"/>
      <c r="I65" s="13">
        <f>IF(E65="","",E65-F65-G65-H65)</f>
      </c>
      <c r="J65" s="14">
        <f>IF(A65="","",IF(A65&gt;=DATE(YEAR(A65),4,6),YEAR(A65)&amp;"-"&amp;RIGHT(YEAR(A65)+1,2),YEAR(A65)-1&amp;"-"&amp;RIGHT(YEAR(A65),2)))</f>
      </c>
    </row>
    <row r="66" spans="1:10" x14ac:dyDescent="0.25">
      <c r="A66" s="10"/>
      <c r="B66" s="11"/>
      <c r="C66" s="11"/>
      <c r="D66" s="11"/>
      <c r="E66" s="12"/>
      <c r="F66" s="12"/>
      <c r="G66" s="12"/>
      <c r="H66" s="12"/>
      <c r="I66" s="13">
        <f>IF(E66="","",E66-F66-G66-H66)</f>
      </c>
      <c r="J66" s="14">
        <f>IF(A66="","",IF(A66&gt;=DATE(YEAR(A66),4,6),YEAR(A66)&amp;"-"&amp;RIGHT(YEAR(A66)+1,2),YEAR(A66)-1&amp;"-"&amp;RIGHT(YEAR(A66),2)))</f>
      </c>
    </row>
    <row r="67" spans="1:10" x14ac:dyDescent="0.25">
      <c r="A67" s="10"/>
      <c r="B67" s="11"/>
      <c r="C67" s="11"/>
      <c r="D67" s="11"/>
      <c r="E67" s="12"/>
      <c r="F67" s="12"/>
      <c r="G67" s="12"/>
      <c r="H67" s="12"/>
      <c r="I67" s="13">
        <f>IF(E67="","",E67-F67-G67-H67)</f>
      </c>
      <c r="J67" s="14">
        <f>IF(A67="","",IF(A67&gt;=DATE(YEAR(A67),4,6),YEAR(A67)&amp;"-"&amp;RIGHT(YEAR(A67)+1,2),YEAR(A67)-1&amp;"-"&amp;RIGHT(YEAR(A67),2)))</f>
      </c>
    </row>
    <row r="68" spans="1:10" x14ac:dyDescent="0.25">
      <c r="A68" s="10"/>
      <c r="B68" s="11"/>
      <c r="C68" s="11"/>
      <c r="D68" s="11"/>
      <c r="E68" s="12"/>
      <c r="F68" s="12"/>
      <c r="G68" s="12"/>
      <c r="H68" s="12"/>
      <c r="I68" s="13">
        <f>IF(E68="","",E68-F68-G68-H68)</f>
      </c>
      <c r="J68" s="14">
        <f>IF(A68="","",IF(A68&gt;=DATE(YEAR(A68),4,6),YEAR(A68)&amp;"-"&amp;RIGHT(YEAR(A68)+1,2),YEAR(A68)-1&amp;"-"&amp;RIGHT(YEAR(A68),2)))</f>
      </c>
    </row>
    <row r="69" spans="1:10" x14ac:dyDescent="0.25">
      <c r="A69" s="10"/>
      <c r="B69" s="11"/>
      <c r="C69" s="11"/>
      <c r="D69" s="11"/>
      <c r="E69" s="12"/>
      <c r="F69" s="12"/>
      <c r="G69" s="12"/>
      <c r="H69" s="12"/>
      <c r="I69" s="13">
        <f>IF(E69="","",E69-F69-G69-H69)</f>
      </c>
      <c r="J69" s="14">
        <f>IF(A69="","",IF(A69&gt;=DATE(YEAR(A69),4,6),YEAR(A69)&amp;"-"&amp;RIGHT(YEAR(A69)+1,2),YEAR(A69)-1&amp;"-"&amp;RIGHT(YEAR(A69),2)))</f>
      </c>
    </row>
    <row r="70" spans="1:10" x14ac:dyDescent="0.25">
      <c r="A70" s="10"/>
      <c r="B70" s="11"/>
      <c r="C70" s="11"/>
      <c r="D70" s="11"/>
      <c r="E70" s="12"/>
      <c r="F70" s="12"/>
      <c r="G70" s="12"/>
      <c r="H70" s="12"/>
      <c r="I70" s="13">
        <f>IF(E70="","",E70-F70-G70-H70)</f>
      </c>
      <c r="J70" s="14">
        <f>IF(A70="","",IF(A70&gt;=DATE(YEAR(A70),4,6),YEAR(A70)&amp;"-"&amp;RIGHT(YEAR(A70)+1,2),YEAR(A70)-1&amp;"-"&amp;RIGHT(YEAR(A70),2)))</f>
      </c>
    </row>
    <row r="71" spans="1:10" x14ac:dyDescent="0.25">
      <c r="A71" s="10"/>
      <c r="B71" s="11"/>
      <c r="C71" s="11"/>
      <c r="D71" s="11"/>
      <c r="E71" s="12"/>
      <c r="F71" s="12"/>
      <c r="G71" s="12"/>
      <c r="H71" s="12"/>
      <c r="I71" s="13">
        <f>IF(E71="","",E71-F71-G71-H71)</f>
      </c>
      <c r="J71" s="14">
        <f>IF(A71="","",IF(A71&gt;=DATE(YEAR(A71),4,6),YEAR(A71)&amp;"-"&amp;RIGHT(YEAR(A71)+1,2),YEAR(A71)-1&amp;"-"&amp;RIGHT(YEAR(A71),2)))</f>
      </c>
    </row>
    <row r="72" spans="1:10" x14ac:dyDescent="0.25">
      <c r="A72" s="10"/>
      <c r="B72" s="11"/>
      <c r="C72" s="11"/>
      <c r="D72" s="11"/>
      <c r="E72" s="12"/>
      <c r="F72" s="12"/>
      <c r="G72" s="12"/>
      <c r="H72" s="12"/>
      <c r="I72" s="13">
        <f>IF(E72="","",E72-F72-G72-H72)</f>
      </c>
      <c r="J72" s="14">
        <f>IF(A72="","",IF(A72&gt;=DATE(YEAR(A72),4,6),YEAR(A72)&amp;"-"&amp;RIGHT(YEAR(A72)+1,2),YEAR(A72)-1&amp;"-"&amp;RIGHT(YEAR(A72),2)))</f>
      </c>
    </row>
    <row r="73" spans="1:10" x14ac:dyDescent="0.25">
      <c r="A73" s="10"/>
      <c r="B73" s="11"/>
      <c r="C73" s="11"/>
      <c r="D73" s="11"/>
      <c r="E73" s="12"/>
      <c r="F73" s="12"/>
      <c r="G73" s="12"/>
      <c r="H73" s="12"/>
      <c r="I73" s="13">
        <f>IF(E73="","",E73-F73-G73-H73)</f>
      </c>
      <c r="J73" s="14">
        <f>IF(A73="","",IF(A73&gt;=DATE(YEAR(A73),4,6),YEAR(A73)&amp;"-"&amp;RIGHT(YEAR(A73)+1,2),YEAR(A73)-1&amp;"-"&amp;RIGHT(YEAR(A73),2)))</f>
      </c>
    </row>
    <row r="74" spans="1:10" x14ac:dyDescent="0.25">
      <c r="A74" s="10"/>
      <c r="B74" s="11"/>
      <c r="C74" s="11"/>
      <c r="D74" s="11"/>
      <c r="E74" s="12"/>
      <c r="F74" s="12"/>
      <c r="G74" s="12"/>
      <c r="H74" s="12"/>
      <c r="I74" s="13">
        <f>IF(E74="","",E74-F74-G74-H74)</f>
      </c>
      <c r="J74" s="14">
        <f>IF(A74="","",IF(A74&gt;=DATE(YEAR(A74),4,6),YEAR(A74)&amp;"-"&amp;RIGHT(YEAR(A74)+1,2),YEAR(A74)-1&amp;"-"&amp;RIGHT(YEAR(A74),2)))</f>
      </c>
    </row>
    <row r="75" spans="1:10" x14ac:dyDescent="0.25">
      <c r="A75" s="10"/>
      <c r="B75" s="11"/>
      <c r="C75" s="11"/>
      <c r="D75" s="11"/>
      <c r="E75" s="12"/>
      <c r="F75" s="12"/>
      <c r="G75" s="12"/>
      <c r="H75" s="12"/>
      <c r="I75" s="13">
        <f>IF(E75="","",E75-F75-G75-H75)</f>
      </c>
      <c r="J75" s="14">
        <f>IF(A75="","",IF(A75&gt;=DATE(YEAR(A75),4,6),YEAR(A75)&amp;"-"&amp;RIGHT(YEAR(A75)+1,2),YEAR(A75)-1&amp;"-"&amp;RIGHT(YEAR(A75),2)))</f>
      </c>
    </row>
    <row r="76" spans="1:10" x14ac:dyDescent="0.25">
      <c r="A76" s="10"/>
      <c r="B76" s="11"/>
      <c r="C76" s="11"/>
      <c r="D76" s="11"/>
      <c r="E76" s="12"/>
      <c r="F76" s="12"/>
      <c r="G76" s="12"/>
      <c r="H76" s="12"/>
      <c r="I76" s="13">
        <f>IF(E76="","",E76-F76-G76-H76)</f>
      </c>
      <c r="J76" s="14">
        <f>IF(A76="","",IF(A76&gt;=DATE(YEAR(A76),4,6),YEAR(A76)&amp;"-"&amp;RIGHT(YEAR(A76)+1,2),YEAR(A76)-1&amp;"-"&amp;RIGHT(YEAR(A76),2)))</f>
      </c>
    </row>
    <row r="77" spans="1:10" x14ac:dyDescent="0.25">
      <c r="A77" s="10"/>
      <c r="B77" s="11"/>
      <c r="C77" s="11"/>
      <c r="D77" s="11"/>
      <c r="E77" s="12"/>
      <c r="F77" s="12"/>
      <c r="G77" s="12"/>
      <c r="H77" s="12"/>
      <c r="I77" s="13">
        <f>IF(E77="","",E77-F77-G77-H77)</f>
      </c>
      <c r="J77" s="14">
        <f>IF(A77="","",IF(A77&gt;=DATE(YEAR(A77),4,6),YEAR(A77)&amp;"-"&amp;RIGHT(YEAR(A77)+1,2),YEAR(A77)-1&amp;"-"&amp;RIGHT(YEAR(A77),2)))</f>
      </c>
    </row>
    <row r="78" spans="1:10" x14ac:dyDescent="0.25">
      <c r="A78" s="10"/>
      <c r="B78" s="11"/>
      <c r="C78" s="11"/>
      <c r="D78" s="11"/>
      <c r="E78" s="12"/>
      <c r="F78" s="12"/>
      <c r="G78" s="12"/>
      <c r="H78" s="12"/>
      <c r="I78" s="13">
        <f>IF(E78="","",E78-F78-G78-H78)</f>
      </c>
      <c r="J78" s="14">
        <f>IF(A78="","",IF(A78&gt;=DATE(YEAR(A78),4,6),YEAR(A78)&amp;"-"&amp;RIGHT(YEAR(A78)+1,2),YEAR(A78)-1&amp;"-"&amp;RIGHT(YEAR(A78),2)))</f>
      </c>
    </row>
    <row r="79" spans="1:10" x14ac:dyDescent="0.25">
      <c r="A79" s="10"/>
      <c r="B79" s="11"/>
      <c r="C79" s="11"/>
      <c r="D79" s="11"/>
      <c r="E79" s="12"/>
      <c r="F79" s="12"/>
      <c r="G79" s="12"/>
      <c r="H79" s="12"/>
      <c r="I79" s="13">
        <f>IF(E79="","",E79-F79-G79-H79)</f>
      </c>
      <c r="J79" s="14">
        <f>IF(A79="","",IF(A79&gt;=DATE(YEAR(A79),4,6),YEAR(A79)&amp;"-"&amp;RIGHT(YEAR(A79)+1,2),YEAR(A79)-1&amp;"-"&amp;RIGHT(YEAR(A79),2)))</f>
      </c>
    </row>
    <row r="80" spans="1:10" x14ac:dyDescent="0.25">
      <c r="A80" s="10"/>
      <c r="B80" s="11"/>
      <c r="C80" s="11"/>
      <c r="D80" s="11"/>
      <c r="E80" s="12"/>
      <c r="F80" s="12"/>
      <c r="G80" s="12"/>
      <c r="H80" s="12"/>
      <c r="I80" s="13">
        <f>IF(E80="","",E80-F80-G80-H80)</f>
      </c>
      <c r="J80" s="14">
        <f>IF(A80="","",IF(A80&gt;=DATE(YEAR(A80),4,6),YEAR(A80)&amp;"-"&amp;RIGHT(YEAR(A80)+1,2),YEAR(A80)-1&amp;"-"&amp;RIGHT(YEAR(A80),2)))</f>
      </c>
    </row>
    <row r="81" spans="1:10" x14ac:dyDescent="0.25">
      <c r="A81" s="10"/>
      <c r="B81" s="11"/>
      <c r="C81" s="11"/>
      <c r="D81" s="11"/>
      <c r="E81" s="12"/>
      <c r="F81" s="12"/>
      <c r="G81" s="12"/>
      <c r="H81" s="12"/>
      <c r="I81" s="13">
        <f>IF(E81="","",E81-F81-G81-H81)</f>
      </c>
      <c r="J81" s="14">
        <f>IF(A81="","",IF(A81&gt;=DATE(YEAR(A81),4,6),YEAR(A81)&amp;"-"&amp;RIGHT(YEAR(A81)+1,2),YEAR(A81)-1&amp;"-"&amp;RIGHT(YEAR(A81),2)))</f>
      </c>
    </row>
    <row r="82" spans="1:10" x14ac:dyDescent="0.25">
      <c r="A82" s="10"/>
      <c r="B82" s="11"/>
      <c r="C82" s="11"/>
      <c r="D82" s="11"/>
      <c r="E82" s="12"/>
      <c r="F82" s="12"/>
      <c r="G82" s="12"/>
      <c r="H82" s="12"/>
      <c r="I82" s="13">
        <f>IF(E82="","",E82-F82-G82-H82)</f>
      </c>
      <c r="J82" s="14">
        <f>IF(A82="","",IF(A82&gt;=DATE(YEAR(A82),4,6),YEAR(A82)&amp;"-"&amp;RIGHT(YEAR(A82)+1,2),YEAR(A82)-1&amp;"-"&amp;RIGHT(YEAR(A82),2)))</f>
      </c>
    </row>
    <row r="83" spans="1:10" x14ac:dyDescent="0.25">
      <c r="A83" s="10"/>
      <c r="B83" s="11"/>
      <c r="C83" s="11"/>
      <c r="D83" s="11"/>
      <c r="E83" s="12"/>
      <c r="F83" s="12"/>
      <c r="G83" s="12"/>
      <c r="H83" s="12"/>
      <c r="I83" s="13">
        <f>IF(E83="","",E83-F83-G83-H83)</f>
      </c>
      <c r="J83" s="14">
        <f>IF(A83="","",IF(A83&gt;=DATE(YEAR(A83),4,6),YEAR(A83)&amp;"-"&amp;RIGHT(YEAR(A83)+1,2),YEAR(A83)-1&amp;"-"&amp;RIGHT(YEAR(A83),2)))</f>
      </c>
    </row>
    <row r="84" spans="1:10" x14ac:dyDescent="0.25">
      <c r="A84" s="10"/>
      <c r="B84" s="11"/>
      <c r="C84" s="11"/>
      <c r="D84" s="11"/>
      <c r="E84" s="12"/>
      <c r="F84" s="12"/>
      <c r="G84" s="12"/>
      <c r="H84" s="12"/>
      <c r="I84" s="13">
        <f>IF(E84="","",E84-F84-G84-H84)</f>
      </c>
      <c r="J84" s="14">
        <f>IF(A84="","",IF(A84&gt;=DATE(YEAR(A84),4,6),YEAR(A84)&amp;"-"&amp;RIGHT(YEAR(A84)+1,2),YEAR(A84)-1&amp;"-"&amp;RIGHT(YEAR(A84),2)))</f>
      </c>
    </row>
    <row r="85" spans="1:10" x14ac:dyDescent="0.25">
      <c r="A85" s="10"/>
      <c r="B85" s="11"/>
      <c r="C85" s="11"/>
      <c r="D85" s="11"/>
      <c r="E85" s="12"/>
      <c r="F85" s="12"/>
      <c r="G85" s="12"/>
      <c r="H85" s="12"/>
      <c r="I85" s="13">
        <f>IF(E85="","",E85-F85-G85-H85)</f>
      </c>
      <c r="J85" s="14">
        <f>IF(A85="","",IF(A85&gt;=DATE(YEAR(A85),4,6),YEAR(A85)&amp;"-"&amp;RIGHT(YEAR(A85)+1,2),YEAR(A85)-1&amp;"-"&amp;RIGHT(YEAR(A85),2)))</f>
      </c>
    </row>
    <row r="86" spans="1:10" x14ac:dyDescent="0.25">
      <c r="A86" s="10"/>
      <c r="B86" s="11"/>
      <c r="C86" s="11"/>
      <c r="D86" s="11"/>
      <c r="E86" s="12"/>
      <c r="F86" s="12"/>
      <c r="G86" s="12"/>
      <c r="H86" s="12"/>
      <c r="I86" s="13">
        <f>IF(E86="","",E86-F86-G86-H86)</f>
      </c>
      <c r="J86" s="14">
        <f>IF(A86="","",IF(A86&gt;=DATE(YEAR(A86),4,6),YEAR(A86)&amp;"-"&amp;RIGHT(YEAR(A86)+1,2),YEAR(A86)-1&amp;"-"&amp;RIGHT(YEAR(A86),2)))</f>
      </c>
    </row>
    <row r="87" spans="1:10" x14ac:dyDescent="0.25">
      <c r="A87" s="10"/>
      <c r="B87" s="11"/>
      <c r="C87" s="11"/>
      <c r="D87" s="11"/>
      <c r="E87" s="12"/>
      <c r="F87" s="12"/>
      <c r="G87" s="12"/>
      <c r="H87" s="12"/>
      <c r="I87" s="13">
        <f>IF(E87="","",E87-F87-G87-H87)</f>
      </c>
      <c r="J87" s="14">
        <f>IF(A87="","",IF(A87&gt;=DATE(YEAR(A87),4,6),YEAR(A87)&amp;"-"&amp;RIGHT(YEAR(A87)+1,2),YEAR(A87)-1&amp;"-"&amp;RIGHT(YEAR(A87),2)))</f>
      </c>
    </row>
    <row r="88" spans="1:10" x14ac:dyDescent="0.25">
      <c r="A88" s="10"/>
      <c r="B88" s="11"/>
      <c r="C88" s="11"/>
      <c r="D88" s="11"/>
      <c r="E88" s="12"/>
      <c r="F88" s="12"/>
      <c r="G88" s="12"/>
      <c r="H88" s="12"/>
      <c r="I88" s="13">
        <f>IF(E88="","",E88-F88-G88-H88)</f>
      </c>
      <c r="J88" s="14">
        <f>IF(A88="","",IF(A88&gt;=DATE(YEAR(A88),4,6),YEAR(A88)&amp;"-"&amp;RIGHT(YEAR(A88)+1,2),YEAR(A88)-1&amp;"-"&amp;RIGHT(YEAR(A88),2)))</f>
      </c>
    </row>
    <row r="89" spans="1:10" x14ac:dyDescent="0.25">
      <c r="A89" s="10"/>
      <c r="B89" s="11"/>
      <c r="C89" s="11"/>
      <c r="D89" s="11"/>
      <c r="E89" s="12"/>
      <c r="F89" s="12"/>
      <c r="G89" s="12"/>
      <c r="H89" s="12"/>
      <c r="I89" s="13">
        <f>IF(E89="","",E89-F89-G89-H89)</f>
      </c>
      <c r="J89" s="14">
        <f>IF(A89="","",IF(A89&gt;=DATE(YEAR(A89),4,6),YEAR(A89)&amp;"-"&amp;RIGHT(YEAR(A89)+1,2),YEAR(A89)-1&amp;"-"&amp;RIGHT(YEAR(A89),2)))</f>
      </c>
    </row>
    <row r="90" spans="1:10" x14ac:dyDescent="0.25">
      <c r="A90" s="10"/>
      <c r="B90" s="11"/>
      <c r="C90" s="11"/>
      <c r="D90" s="11"/>
      <c r="E90" s="12"/>
      <c r="F90" s="12"/>
      <c r="G90" s="12"/>
      <c r="H90" s="12"/>
      <c r="I90" s="13">
        <f>IF(E90="","",E90-F90-G90-H90)</f>
      </c>
      <c r="J90" s="14">
        <f>IF(A90="","",IF(A90&gt;=DATE(YEAR(A90),4,6),YEAR(A90)&amp;"-"&amp;RIGHT(YEAR(A90)+1,2),YEAR(A90)-1&amp;"-"&amp;RIGHT(YEAR(A90),2)))</f>
      </c>
    </row>
    <row r="91" spans="1:10" x14ac:dyDescent="0.25">
      <c r="A91" s="10"/>
      <c r="B91" s="11"/>
      <c r="C91" s="11"/>
      <c r="D91" s="11"/>
      <c r="E91" s="12"/>
      <c r="F91" s="12"/>
      <c r="G91" s="12"/>
      <c r="H91" s="12"/>
      <c r="I91" s="13">
        <f>IF(E91="","",E91-F91-G91-H91)</f>
      </c>
      <c r="J91" s="14">
        <f>IF(A91="","",IF(A91&gt;=DATE(YEAR(A91),4,6),YEAR(A91)&amp;"-"&amp;RIGHT(YEAR(A91)+1,2),YEAR(A91)-1&amp;"-"&amp;RIGHT(YEAR(A91),2)))</f>
      </c>
    </row>
    <row r="92" spans="1:10" x14ac:dyDescent="0.25">
      <c r="A92" s="10"/>
      <c r="B92" s="11"/>
      <c r="C92" s="11"/>
      <c r="D92" s="11"/>
      <c r="E92" s="12"/>
      <c r="F92" s="12"/>
      <c r="G92" s="12"/>
      <c r="H92" s="12"/>
      <c r="I92" s="13">
        <f>IF(E92="","",E92-F92-G92-H92)</f>
      </c>
      <c r="J92" s="14">
        <f>IF(A92="","",IF(A92&gt;=DATE(YEAR(A92),4,6),YEAR(A92)&amp;"-"&amp;RIGHT(YEAR(A92)+1,2),YEAR(A92)-1&amp;"-"&amp;RIGHT(YEAR(A92),2)))</f>
      </c>
    </row>
    <row r="93" spans="1:10" x14ac:dyDescent="0.25">
      <c r="A93" s="10"/>
      <c r="B93" s="11"/>
      <c r="C93" s="11"/>
      <c r="D93" s="11"/>
      <c r="E93" s="12"/>
      <c r="F93" s="12"/>
      <c r="G93" s="12"/>
      <c r="H93" s="12"/>
      <c r="I93" s="13">
        <f>IF(E93="","",E93-F93-G93-H93)</f>
      </c>
      <c r="J93" s="14">
        <f>IF(A93="","",IF(A93&gt;=DATE(YEAR(A93),4,6),YEAR(A93)&amp;"-"&amp;RIGHT(YEAR(A93)+1,2),YEAR(A93)-1&amp;"-"&amp;RIGHT(YEAR(A93),2)))</f>
      </c>
    </row>
    <row r="94" spans="1:10" x14ac:dyDescent="0.25">
      <c r="A94" s="10"/>
      <c r="B94" s="11"/>
      <c r="C94" s="11"/>
      <c r="D94" s="11"/>
      <c r="E94" s="12"/>
      <c r="F94" s="12"/>
      <c r="G94" s="12"/>
      <c r="H94" s="12"/>
      <c r="I94" s="13">
        <f>IF(E94="","",E94-F94-G94-H94)</f>
      </c>
      <c r="J94" s="14">
        <f>IF(A94="","",IF(A94&gt;=DATE(YEAR(A94),4,6),YEAR(A94)&amp;"-"&amp;RIGHT(YEAR(A94)+1,2),YEAR(A94)-1&amp;"-"&amp;RIGHT(YEAR(A94),2)))</f>
      </c>
    </row>
    <row r="95" spans="1:10" x14ac:dyDescent="0.25">
      <c r="A95" s="10"/>
      <c r="B95" s="11"/>
      <c r="C95" s="11"/>
      <c r="D95" s="11"/>
      <c r="E95" s="12"/>
      <c r="F95" s="12"/>
      <c r="G95" s="12"/>
      <c r="H95" s="12"/>
      <c r="I95" s="13">
        <f>IF(E95="","",E95-F95-G95-H95)</f>
      </c>
      <c r="J95" s="14">
        <f>IF(A95="","",IF(A95&gt;=DATE(YEAR(A95),4,6),YEAR(A95)&amp;"-"&amp;RIGHT(YEAR(A95)+1,2),YEAR(A95)-1&amp;"-"&amp;RIGHT(YEAR(A95),2)))</f>
      </c>
    </row>
    <row r="96" spans="1:10" x14ac:dyDescent="0.25">
      <c r="A96" s="10"/>
      <c r="B96" s="11"/>
      <c r="C96" s="11"/>
      <c r="D96" s="11"/>
      <c r="E96" s="12"/>
      <c r="F96" s="12"/>
      <c r="G96" s="12"/>
      <c r="H96" s="12"/>
      <c r="I96" s="13">
        <f>IF(E96="","",E96-F96-G96-H96)</f>
      </c>
      <c r="J96" s="14">
        <f>IF(A96="","",IF(A96&gt;=DATE(YEAR(A96),4,6),YEAR(A96)&amp;"-"&amp;RIGHT(YEAR(A96)+1,2),YEAR(A96)-1&amp;"-"&amp;RIGHT(YEAR(A96),2)))</f>
      </c>
    </row>
    <row r="97" spans="1:10" x14ac:dyDescent="0.25">
      <c r="A97" s="10"/>
      <c r="B97" s="11"/>
      <c r="C97" s="11"/>
      <c r="D97" s="11"/>
      <c r="E97" s="12"/>
      <c r="F97" s="12"/>
      <c r="G97" s="12"/>
      <c r="H97" s="12"/>
      <c r="I97" s="13">
        <f>IF(E97="","",E97-F97-G97-H97)</f>
      </c>
      <c r="J97" s="14">
        <f>IF(A97="","",IF(A97&gt;=DATE(YEAR(A97),4,6),YEAR(A97)&amp;"-"&amp;RIGHT(YEAR(A97)+1,2),YEAR(A97)-1&amp;"-"&amp;RIGHT(YEAR(A97),2)))</f>
      </c>
    </row>
    <row r="98" spans="1:10" x14ac:dyDescent="0.25">
      <c r="A98" s="10"/>
      <c r="B98" s="11"/>
      <c r="C98" s="11"/>
      <c r="D98" s="11"/>
      <c r="E98" s="12"/>
      <c r="F98" s="12"/>
      <c r="G98" s="12"/>
      <c r="H98" s="12"/>
      <c r="I98" s="13">
        <f>IF(E98="","",E98-F98-G98-H98)</f>
      </c>
      <c r="J98" s="14">
        <f>IF(A98="","",IF(A98&gt;=DATE(YEAR(A98),4,6),YEAR(A98)&amp;"-"&amp;RIGHT(YEAR(A98)+1,2),YEAR(A98)-1&amp;"-"&amp;RIGHT(YEAR(A98),2)))</f>
      </c>
    </row>
    <row r="99" spans="1:10" x14ac:dyDescent="0.25">
      <c r="A99" s="10"/>
      <c r="B99" s="11"/>
      <c r="C99" s="11"/>
      <c r="D99" s="11"/>
      <c r="E99" s="12"/>
      <c r="F99" s="12"/>
      <c r="G99" s="12"/>
      <c r="H99" s="12"/>
      <c r="I99" s="13">
        <f>IF(E99="","",E99-F99-G99-H99)</f>
      </c>
      <c r="J99" s="14">
        <f>IF(A99="","",IF(A99&gt;=DATE(YEAR(A99),4,6),YEAR(A99)&amp;"-"&amp;RIGHT(YEAR(A99)+1,2),YEAR(A99)-1&amp;"-"&amp;RIGHT(YEAR(A99),2)))</f>
      </c>
    </row>
    <row r="100" spans="1:10" x14ac:dyDescent="0.25">
      <c r="A100" s="10"/>
      <c r="B100" s="11"/>
      <c r="C100" s="11"/>
      <c r="D100" s="11"/>
      <c r="E100" s="12"/>
      <c r="F100" s="12"/>
      <c r="G100" s="12"/>
      <c r="H100" s="12"/>
      <c r="I100" s="13">
        <f>IF(E100="","",E100-F100-G100-H100)</f>
      </c>
      <c r="J100" s="14">
        <f>IF(A100="","",IF(A100&gt;=DATE(YEAR(A100),4,6),YEAR(A100)&amp;"-"&amp;RIGHT(YEAR(A100)+1,2),YEAR(A100)-1&amp;"-"&amp;RIGHT(YEAR(A100),2)))</f>
      </c>
    </row>
    <row r="101" spans="1:10" x14ac:dyDescent="0.25">
      <c r="A101" s="10"/>
      <c r="B101" s="11"/>
      <c r="C101" s="11"/>
      <c r="D101" s="11"/>
      <c r="E101" s="12"/>
      <c r="F101" s="12"/>
      <c r="G101" s="12"/>
      <c r="H101" s="12"/>
      <c r="I101" s="13">
        <f>IF(E101="","",E101-F101-G101-H101)</f>
      </c>
      <c r="J101" s="14">
        <f>IF(A101="","",IF(A101&gt;=DATE(YEAR(A101),4,6),YEAR(A101)&amp;"-"&amp;RIGHT(YEAR(A101)+1,2),YEAR(A101)-1&amp;"-"&amp;RIGHT(YEAR(A101),2)))</f>
      </c>
    </row>
    <row r="102" spans="1:10" x14ac:dyDescent="0.25">
      <c r="A102" s="10"/>
      <c r="B102" s="11"/>
      <c r="C102" s="11"/>
      <c r="D102" s="11"/>
      <c r="E102" s="12"/>
      <c r="F102" s="12"/>
      <c r="G102" s="12"/>
      <c r="H102" s="12"/>
      <c r="I102" s="13">
        <f>IF(E102="","",E102-F102-G102-H102)</f>
      </c>
      <c r="J102" s="14">
        <f>IF(A102="","",IF(A102&gt;=DATE(YEAR(A102),4,6),YEAR(A102)&amp;"-"&amp;RIGHT(YEAR(A102)+1,2),YEAR(A102)-1&amp;"-"&amp;RIGHT(YEAR(A102),2)))</f>
      </c>
    </row>
    <row r="103" spans="1:10" x14ac:dyDescent="0.25">
      <c r="A103" s="10"/>
      <c r="B103" s="11"/>
      <c r="C103" s="11"/>
      <c r="D103" s="11"/>
      <c r="E103" s="12"/>
      <c r="F103" s="12"/>
      <c r="G103" s="12"/>
      <c r="H103" s="12"/>
      <c r="I103" s="13">
        <f>IF(E103="","",E103-F103-G103-H103)</f>
      </c>
      <c r="J103" s="14">
        <f>IF(A103="","",IF(A103&gt;=DATE(YEAR(A103),4,6),YEAR(A103)&amp;"-"&amp;RIGHT(YEAR(A103)+1,2),YEAR(A103)-1&amp;"-"&amp;RIGHT(YEAR(A103),2)))</f>
      </c>
    </row>
    <row r="104" spans="1:10" x14ac:dyDescent="0.25">
      <c r="A104" s="10"/>
      <c r="B104" s="11"/>
      <c r="C104" s="11"/>
      <c r="D104" s="11"/>
      <c r="E104" s="12"/>
      <c r="F104" s="12"/>
      <c r="G104" s="12"/>
      <c r="H104" s="12"/>
      <c r="I104" s="13">
        <f>IF(E104="","",E104-F104-G104-H104)</f>
      </c>
      <c r="J104" s="14">
        <f>IF(A104="","",IF(A104&gt;=DATE(YEAR(A104),4,6),YEAR(A104)&amp;"-"&amp;RIGHT(YEAR(A104)+1,2),YEAR(A104)-1&amp;"-"&amp;RIGHT(YEAR(A104),2)))</f>
      </c>
    </row>
    <row r="105" spans="1:10" x14ac:dyDescent="0.25">
      <c r="A105" s="10"/>
      <c r="B105" s="11"/>
      <c r="C105" s="11"/>
      <c r="D105" s="11"/>
      <c r="E105" s="12"/>
      <c r="F105" s="12"/>
      <c r="G105" s="12"/>
      <c r="H105" s="12"/>
      <c r="I105" s="13">
        <f>IF(E105="","",E105-F105-G105-H105)</f>
      </c>
      <c r="J105" s="14">
        <f>IF(A105="","",IF(A105&gt;=DATE(YEAR(A105),4,6),YEAR(A105)&amp;"-"&amp;RIGHT(YEAR(A105)+1,2),YEAR(A105)-1&amp;"-"&amp;RIGHT(YEAR(A105),2)))</f>
      </c>
    </row>
    <row r="106" spans="1:10" x14ac:dyDescent="0.25">
      <c r="A106" s="10"/>
      <c r="B106" s="11"/>
      <c r="C106" s="11"/>
      <c r="D106" s="11"/>
      <c r="E106" s="12"/>
      <c r="F106" s="12"/>
      <c r="G106" s="12"/>
      <c r="H106" s="12"/>
      <c r="I106" s="13">
        <f>IF(E106="","",E106-F106-G106-H106)</f>
      </c>
      <c r="J106" s="14">
        <f>IF(A106="","",IF(A106&gt;=DATE(YEAR(A106),4,6),YEAR(A106)&amp;"-"&amp;RIGHT(YEAR(A106)+1,2),YEAR(A106)-1&amp;"-"&amp;RIGHT(YEAR(A106),2)))</f>
      </c>
    </row>
    <row r="107" spans="1:10" x14ac:dyDescent="0.25">
      <c r="A107" s="10"/>
      <c r="B107" s="11"/>
      <c r="C107" s="11"/>
      <c r="D107" s="11"/>
      <c r="E107" s="12"/>
      <c r="F107" s="12"/>
      <c r="G107" s="12"/>
      <c r="H107" s="12"/>
      <c r="I107" s="13">
        <f>IF(E107="","",E107-F107-G107-H107)</f>
      </c>
      <c r="J107" s="14">
        <f>IF(A107="","",IF(A107&gt;=DATE(YEAR(A107),4,6),YEAR(A107)&amp;"-"&amp;RIGHT(YEAR(A107)+1,2),YEAR(A107)-1&amp;"-"&amp;RIGHT(YEAR(A107),2)))</f>
      </c>
    </row>
    <row r="108" spans="1:10" x14ac:dyDescent="0.25">
      <c r="A108" s="10"/>
      <c r="B108" s="11"/>
      <c r="C108" s="11"/>
      <c r="D108" s="11"/>
      <c r="E108" s="12"/>
      <c r="F108" s="12"/>
      <c r="G108" s="12"/>
      <c r="H108" s="12"/>
      <c r="I108" s="13">
        <f>IF(E108="","",E108-F108-G108-H108)</f>
      </c>
      <c r="J108" s="14">
        <f>IF(A108="","",IF(A108&gt;=DATE(YEAR(A108),4,6),YEAR(A108)&amp;"-"&amp;RIGHT(YEAR(A108)+1,2),YEAR(A108)-1&amp;"-"&amp;RIGHT(YEAR(A108),2)))</f>
      </c>
    </row>
    <row r="109" spans="1:10" x14ac:dyDescent="0.25">
      <c r="A109" s="10"/>
      <c r="B109" s="11"/>
      <c r="C109" s="11"/>
      <c r="D109" s="11"/>
      <c r="E109" s="12"/>
      <c r="F109" s="12"/>
      <c r="G109" s="12"/>
      <c r="H109" s="12"/>
      <c r="I109" s="13">
        <f>IF(E109="","",E109-F109-G109-H109)</f>
      </c>
      <c r="J109" s="14">
        <f>IF(A109="","",IF(A109&gt;=DATE(YEAR(A109),4,6),YEAR(A109)&amp;"-"&amp;RIGHT(YEAR(A109)+1,2),YEAR(A109)-1&amp;"-"&amp;RIGHT(YEAR(A109),2)))</f>
      </c>
    </row>
    <row r="110" spans="1:10" x14ac:dyDescent="0.25">
      <c r="A110" s="10"/>
      <c r="B110" s="11"/>
      <c r="C110" s="11"/>
      <c r="D110" s="11"/>
      <c r="E110" s="12"/>
      <c r="F110" s="12"/>
      <c r="G110" s="12"/>
      <c r="H110" s="12"/>
      <c r="I110" s="13">
        <f>IF(E110="","",E110-F110-G110-H110)</f>
      </c>
      <c r="J110" s="14">
        <f>IF(A110="","",IF(A110&gt;=DATE(YEAR(A110),4,6),YEAR(A110)&amp;"-"&amp;RIGHT(YEAR(A110)+1,2),YEAR(A110)-1&amp;"-"&amp;RIGHT(YEAR(A110),2)))</f>
      </c>
    </row>
    <row r="111" spans="1:10" x14ac:dyDescent="0.25">
      <c r="A111" s="10"/>
      <c r="B111" s="11"/>
      <c r="C111" s="11"/>
      <c r="D111" s="11"/>
      <c r="E111" s="12"/>
      <c r="F111" s="12"/>
      <c r="G111" s="12"/>
      <c r="H111" s="12"/>
      <c r="I111" s="13">
        <f>IF(E111="","",E111-F111-G111-H111)</f>
      </c>
      <c r="J111" s="14">
        <f>IF(A111="","",IF(A111&gt;=DATE(YEAR(A111),4,6),YEAR(A111)&amp;"-"&amp;RIGHT(YEAR(A111)+1,2),YEAR(A111)-1&amp;"-"&amp;RIGHT(YEAR(A111),2)))</f>
      </c>
    </row>
    <row r="112" spans="1:10" x14ac:dyDescent="0.25">
      <c r="A112" s="10"/>
      <c r="B112" s="11"/>
      <c r="C112" s="11"/>
      <c r="D112" s="11"/>
      <c r="E112" s="12"/>
      <c r="F112" s="12"/>
      <c r="G112" s="12"/>
      <c r="H112" s="12"/>
      <c r="I112" s="13">
        <f>IF(E112="","",E112-F112-G112-H112)</f>
      </c>
      <c r="J112" s="14">
        <f>IF(A112="","",IF(A112&gt;=DATE(YEAR(A112),4,6),YEAR(A112)&amp;"-"&amp;RIGHT(YEAR(A112)+1,2),YEAR(A112)-1&amp;"-"&amp;RIGHT(YEAR(A112),2)))</f>
      </c>
    </row>
    <row r="113" spans="1:10" x14ac:dyDescent="0.25">
      <c r="A113" s="10"/>
      <c r="B113" s="11"/>
      <c r="C113" s="11"/>
      <c r="D113" s="11"/>
      <c r="E113" s="12"/>
      <c r="F113" s="12"/>
      <c r="G113" s="12"/>
      <c r="H113" s="12"/>
      <c r="I113" s="13">
        <f>IF(E113="","",E113-F113-G113-H113)</f>
      </c>
      <c r="J113" s="14">
        <f>IF(A113="","",IF(A113&gt;=DATE(YEAR(A113),4,6),YEAR(A113)&amp;"-"&amp;RIGHT(YEAR(A113)+1,2),YEAR(A113)-1&amp;"-"&amp;RIGHT(YEAR(A113),2)))</f>
      </c>
    </row>
    <row r="114" spans="1:10" x14ac:dyDescent="0.25">
      <c r="A114" s="10"/>
      <c r="B114" s="11"/>
      <c r="C114" s="11"/>
      <c r="D114" s="11"/>
      <c r="E114" s="12"/>
      <c r="F114" s="12"/>
      <c r="G114" s="12"/>
      <c r="H114" s="12"/>
      <c r="I114" s="13">
        <f>IF(E114="","",E114-F114-G114-H114)</f>
      </c>
      <c r="J114" s="14">
        <f>IF(A114="","",IF(A114&gt;=DATE(YEAR(A114),4,6),YEAR(A114)&amp;"-"&amp;RIGHT(YEAR(A114)+1,2),YEAR(A114)-1&amp;"-"&amp;RIGHT(YEAR(A114),2)))</f>
      </c>
    </row>
    <row r="115" spans="1:10" x14ac:dyDescent="0.25">
      <c r="A115" s="10"/>
      <c r="B115" s="11"/>
      <c r="C115" s="11"/>
      <c r="D115" s="11"/>
      <c r="E115" s="12"/>
      <c r="F115" s="12"/>
      <c r="G115" s="12"/>
      <c r="H115" s="12"/>
      <c r="I115" s="13">
        <f>IF(E115="","",E115-F115-G115-H115)</f>
      </c>
      <c r="J115" s="14">
        <f>IF(A115="","",IF(A115&gt;=DATE(YEAR(A115),4,6),YEAR(A115)&amp;"-"&amp;RIGHT(YEAR(A115)+1,2),YEAR(A115)-1&amp;"-"&amp;RIGHT(YEAR(A115),2)))</f>
      </c>
    </row>
    <row r="116" spans="1:10" x14ac:dyDescent="0.25">
      <c r="A116" s="10"/>
      <c r="B116" s="11"/>
      <c r="C116" s="11"/>
      <c r="D116" s="11"/>
      <c r="E116" s="12"/>
      <c r="F116" s="12"/>
      <c r="G116" s="12"/>
      <c r="H116" s="12"/>
      <c r="I116" s="13">
        <f>IF(E116="","",E116-F116-G116-H116)</f>
      </c>
      <c r="J116" s="14">
        <f>IF(A116="","",IF(A116&gt;=DATE(YEAR(A116),4,6),YEAR(A116)&amp;"-"&amp;RIGHT(YEAR(A116)+1,2),YEAR(A116)-1&amp;"-"&amp;RIGHT(YEAR(A116),2)))</f>
      </c>
    </row>
    <row r="117" spans="1:10" x14ac:dyDescent="0.25">
      <c r="A117" s="10"/>
      <c r="B117" s="11"/>
      <c r="C117" s="11"/>
      <c r="D117" s="11"/>
      <c r="E117" s="12"/>
      <c r="F117" s="12"/>
      <c r="G117" s="12"/>
      <c r="H117" s="12"/>
      <c r="I117" s="13">
        <f>IF(E117="","",E117-F117-G117-H117)</f>
      </c>
      <c r="J117" s="14">
        <f>IF(A117="","",IF(A117&gt;=DATE(YEAR(A117),4,6),YEAR(A117)&amp;"-"&amp;RIGHT(YEAR(A117)+1,2),YEAR(A117)-1&amp;"-"&amp;RIGHT(YEAR(A117),2)))</f>
      </c>
    </row>
    <row r="118" spans="1:10" x14ac:dyDescent="0.25">
      <c r="A118" s="10"/>
      <c r="B118" s="11"/>
      <c r="C118" s="11"/>
      <c r="D118" s="11"/>
      <c r="E118" s="12"/>
      <c r="F118" s="12"/>
      <c r="G118" s="12"/>
      <c r="H118" s="12"/>
      <c r="I118" s="13">
        <f>IF(E118="","",E118-F118-G118-H118)</f>
      </c>
      <c r="J118" s="14">
        <f>IF(A118="","",IF(A118&gt;=DATE(YEAR(A118),4,6),YEAR(A118)&amp;"-"&amp;RIGHT(YEAR(A118)+1,2),YEAR(A118)-1&amp;"-"&amp;RIGHT(YEAR(A118),2)))</f>
      </c>
    </row>
    <row r="119" spans="1:10" x14ac:dyDescent="0.25">
      <c r="A119" s="10"/>
      <c r="B119" s="11"/>
      <c r="C119" s="11"/>
      <c r="D119" s="11"/>
      <c r="E119" s="12"/>
      <c r="F119" s="12"/>
      <c r="G119" s="12"/>
      <c r="H119" s="12"/>
      <c r="I119" s="13">
        <f>IF(E119="","",E119-F119-G119-H119)</f>
      </c>
      <c r="J119" s="14">
        <f>IF(A119="","",IF(A119&gt;=DATE(YEAR(A119),4,6),YEAR(A119)&amp;"-"&amp;RIGHT(YEAR(A119)+1,2),YEAR(A119)-1&amp;"-"&amp;RIGHT(YEAR(A119),2)))</f>
      </c>
    </row>
    <row r="120" spans="1:10" x14ac:dyDescent="0.25">
      <c r="A120" s="10"/>
      <c r="B120" s="11"/>
      <c r="C120" s="11"/>
      <c r="D120" s="11"/>
      <c r="E120" s="12"/>
      <c r="F120" s="12"/>
      <c r="G120" s="12"/>
      <c r="H120" s="12"/>
      <c r="I120" s="13">
        <f>IF(E120="","",E120-F120-G120-H120)</f>
      </c>
      <c r="J120" s="14">
        <f>IF(A120="","",IF(A120&gt;=DATE(YEAR(A120),4,6),YEAR(A120)&amp;"-"&amp;RIGHT(YEAR(A120)+1,2),YEAR(A120)-1&amp;"-"&amp;RIGHT(YEAR(A120),2)))</f>
      </c>
    </row>
    <row r="121" spans="1:10" x14ac:dyDescent="0.25">
      <c r="A121" s="10"/>
      <c r="B121" s="11"/>
      <c r="C121" s="11"/>
      <c r="D121" s="11"/>
      <c r="E121" s="12"/>
      <c r="F121" s="12"/>
      <c r="G121" s="12"/>
      <c r="H121" s="12"/>
      <c r="I121" s="13">
        <f>IF(E121="","",E121-F121-G121-H121)</f>
      </c>
      <c r="J121" s="14">
        <f>IF(A121="","",IF(A121&gt;=DATE(YEAR(A121),4,6),YEAR(A121)&amp;"-"&amp;RIGHT(YEAR(A121)+1,2),YEAR(A121)-1&amp;"-"&amp;RIGHT(YEAR(A121),2)))</f>
      </c>
    </row>
    <row r="122" spans="1:10" x14ac:dyDescent="0.25">
      <c r="A122" s="10"/>
      <c r="B122" s="11"/>
      <c r="C122" s="11"/>
      <c r="D122" s="11"/>
      <c r="E122" s="12"/>
      <c r="F122" s="12"/>
      <c r="G122" s="12"/>
      <c r="H122" s="12"/>
      <c r="I122" s="13">
        <f>IF(E122="","",E122-F122-G122-H122)</f>
      </c>
      <c r="J122" s="14">
        <f>IF(A122="","",IF(A122&gt;=DATE(YEAR(A122),4,6),YEAR(A122)&amp;"-"&amp;RIGHT(YEAR(A122)+1,2),YEAR(A122)-1&amp;"-"&amp;RIGHT(YEAR(A122),2)))</f>
      </c>
    </row>
    <row r="123" spans="1:10" x14ac:dyDescent="0.25">
      <c r="A123" s="10"/>
      <c r="B123" s="11"/>
      <c r="C123" s="11"/>
      <c r="D123" s="11"/>
      <c r="E123" s="12"/>
      <c r="F123" s="12"/>
      <c r="G123" s="12"/>
      <c r="H123" s="12"/>
      <c r="I123" s="13">
        <f>IF(E123="","",E123-F123-G123-H123)</f>
      </c>
      <c r="J123" s="14">
        <f>IF(A123="","",IF(A123&gt;=DATE(YEAR(A123),4,6),YEAR(A123)&amp;"-"&amp;RIGHT(YEAR(A123)+1,2),YEAR(A123)-1&amp;"-"&amp;RIGHT(YEAR(A123),2)))</f>
      </c>
    </row>
    <row r="124" spans="1:10" x14ac:dyDescent="0.25">
      <c r="A124" s="10"/>
      <c r="B124" s="11"/>
      <c r="C124" s="11"/>
      <c r="D124" s="11"/>
      <c r="E124" s="12"/>
      <c r="F124" s="12"/>
      <c r="G124" s="12"/>
      <c r="H124" s="12"/>
      <c r="I124" s="13">
        <f>IF(E124="","",E124-F124-G124-H124)</f>
      </c>
      <c r="J124" s="14">
        <f>IF(A124="","",IF(A124&gt;=DATE(YEAR(A124),4,6),YEAR(A124)&amp;"-"&amp;RIGHT(YEAR(A124)+1,2),YEAR(A124)-1&amp;"-"&amp;RIGHT(YEAR(A124),2)))</f>
      </c>
    </row>
    <row r="125" spans="1:10" x14ac:dyDescent="0.25">
      <c r="A125" s="10"/>
      <c r="B125" s="11"/>
      <c r="C125" s="11"/>
      <c r="D125" s="11"/>
      <c r="E125" s="12"/>
      <c r="F125" s="12"/>
      <c r="G125" s="12"/>
      <c r="H125" s="12"/>
      <c r="I125" s="13">
        <f>IF(E125="","",E125-F125-G125-H125)</f>
      </c>
      <c r="J125" s="14">
        <f>IF(A125="","",IF(A125&gt;=DATE(YEAR(A125),4,6),YEAR(A125)&amp;"-"&amp;RIGHT(YEAR(A125)+1,2),YEAR(A125)-1&amp;"-"&amp;RIGHT(YEAR(A125),2)))</f>
      </c>
    </row>
    <row r="126" spans="1:10" x14ac:dyDescent="0.25">
      <c r="A126" s="10"/>
      <c r="B126" s="11"/>
      <c r="C126" s="11"/>
      <c r="D126" s="11"/>
      <c r="E126" s="12"/>
      <c r="F126" s="12"/>
      <c r="G126" s="12"/>
      <c r="H126" s="12"/>
      <c r="I126" s="13">
        <f>IF(E126="","",E126-F126-G126-H126)</f>
      </c>
      <c r="J126" s="14">
        <f>IF(A126="","",IF(A126&gt;=DATE(YEAR(A126),4,6),YEAR(A126)&amp;"-"&amp;RIGHT(YEAR(A126)+1,2),YEAR(A126)-1&amp;"-"&amp;RIGHT(YEAR(A126),2)))</f>
      </c>
    </row>
    <row r="127" spans="1:10" x14ac:dyDescent="0.25">
      <c r="A127" s="10"/>
      <c r="B127" s="11"/>
      <c r="C127" s="11"/>
      <c r="D127" s="11"/>
      <c r="E127" s="12"/>
      <c r="F127" s="12"/>
      <c r="G127" s="12"/>
      <c r="H127" s="12"/>
      <c r="I127" s="13">
        <f>IF(E127="","",E127-F127-G127-H127)</f>
      </c>
      <c r="J127" s="14">
        <f>IF(A127="","",IF(A127&gt;=DATE(YEAR(A127),4,6),YEAR(A127)&amp;"-"&amp;RIGHT(YEAR(A127)+1,2),YEAR(A127)-1&amp;"-"&amp;RIGHT(YEAR(A127),2)))</f>
      </c>
    </row>
    <row r="128" spans="1:10" x14ac:dyDescent="0.25">
      <c r="A128" s="10"/>
      <c r="B128" s="11"/>
      <c r="C128" s="11"/>
      <c r="D128" s="11"/>
      <c r="E128" s="12"/>
      <c r="F128" s="12"/>
      <c r="G128" s="12"/>
      <c r="H128" s="12"/>
      <c r="I128" s="13">
        <f>IF(E128="","",E128-F128-G128-H128)</f>
      </c>
      <c r="J128" s="14">
        <f>IF(A128="","",IF(A128&gt;=DATE(YEAR(A128),4,6),YEAR(A128)&amp;"-"&amp;RIGHT(YEAR(A128)+1,2),YEAR(A128)-1&amp;"-"&amp;RIGHT(YEAR(A128),2)))</f>
      </c>
    </row>
    <row r="129" spans="1:10" x14ac:dyDescent="0.25">
      <c r="A129" s="10"/>
      <c r="B129" s="11"/>
      <c r="C129" s="11"/>
      <c r="D129" s="11"/>
      <c r="E129" s="12"/>
      <c r="F129" s="12"/>
      <c r="G129" s="12"/>
      <c r="H129" s="12"/>
      <c r="I129" s="13">
        <f>IF(E129="","",E129-F129-G129-H129)</f>
      </c>
      <c r="J129" s="14">
        <f>IF(A129="","",IF(A129&gt;=DATE(YEAR(A129),4,6),YEAR(A129)&amp;"-"&amp;RIGHT(YEAR(A129)+1,2),YEAR(A129)-1&amp;"-"&amp;RIGHT(YEAR(A129),2)))</f>
      </c>
    </row>
    <row r="130" spans="1:10" x14ac:dyDescent="0.25">
      <c r="A130" s="10"/>
      <c r="B130" s="11"/>
      <c r="C130" s="11"/>
      <c r="D130" s="11"/>
      <c r="E130" s="12"/>
      <c r="F130" s="12"/>
      <c r="G130" s="12"/>
      <c r="H130" s="12"/>
      <c r="I130" s="13">
        <f>IF(E130="","",E130-F130-G130-H130)</f>
      </c>
      <c r="J130" s="14">
        <f>IF(A130="","",IF(A130&gt;=DATE(YEAR(A130),4,6),YEAR(A130)&amp;"-"&amp;RIGHT(YEAR(A130)+1,2),YEAR(A130)-1&amp;"-"&amp;RIGHT(YEAR(A130),2)))</f>
      </c>
    </row>
    <row r="131" spans="1:10" x14ac:dyDescent="0.25">
      <c r="A131" s="10"/>
      <c r="B131" s="11"/>
      <c r="C131" s="11"/>
      <c r="D131" s="11"/>
      <c r="E131" s="12"/>
      <c r="F131" s="12"/>
      <c r="G131" s="12"/>
      <c r="H131" s="12"/>
      <c r="I131" s="13">
        <f>IF(E131="","",E131-F131-G131-H131)</f>
      </c>
      <c r="J131" s="14">
        <f>IF(A131="","",IF(A131&gt;=DATE(YEAR(A131),4,6),YEAR(A131)&amp;"-"&amp;RIGHT(YEAR(A131)+1,2),YEAR(A131)-1&amp;"-"&amp;RIGHT(YEAR(A131),2)))</f>
      </c>
    </row>
    <row r="132" spans="1:10" x14ac:dyDescent="0.25">
      <c r="A132" s="10"/>
      <c r="B132" s="11"/>
      <c r="C132" s="11"/>
      <c r="D132" s="11"/>
      <c r="E132" s="12"/>
      <c r="F132" s="12"/>
      <c r="G132" s="12"/>
      <c r="H132" s="12"/>
      <c r="I132" s="13">
        <f>IF(E132="","",E132-F132-G132-H132)</f>
      </c>
      <c r="J132" s="14">
        <f>IF(A132="","",IF(A132&gt;=DATE(YEAR(A132),4,6),YEAR(A132)&amp;"-"&amp;RIGHT(YEAR(A132)+1,2),YEAR(A132)-1&amp;"-"&amp;RIGHT(YEAR(A132),2)))</f>
      </c>
    </row>
    <row r="133" spans="1:10" x14ac:dyDescent="0.25">
      <c r="A133" s="10"/>
      <c r="B133" s="11"/>
      <c r="C133" s="11"/>
      <c r="D133" s="11"/>
      <c r="E133" s="12"/>
      <c r="F133" s="12"/>
      <c r="G133" s="12"/>
      <c r="H133" s="12"/>
      <c r="I133" s="13">
        <f>IF(E133="","",E133-F133-G133-H133)</f>
      </c>
      <c r="J133" s="14">
        <f>IF(A133="","",IF(A133&gt;=DATE(YEAR(A133),4,6),YEAR(A133)&amp;"-"&amp;RIGHT(YEAR(A133)+1,2),YEAR(A133)-1&amp;"-"&amp;RIGHT(YEAR(A133),2)))</f>
      </c>
    </row>
    <row r="134" spans="1:10" x14ac:dyDescent="0.25">
      <c r="A134" s="10"/>
      <c r="B134" s="11"/>
      <c r="C134" s="11"/>
      <c r="D134" s="11"/>
      <c r="E134" s="12"/>
      <c r="F134" s="12"/>
      <c r="G134" s="12"/>
      <c r="H134" s="12"/>
      <c r="I134" s="13">
        <f>IF(E134="","",E134-F134-G134-H134)</f>
      </c>
      <c r="J134" s="14">
        <f>IF(A134="","",IF(A134&gt;=DATE(YEAR(A134),4,6),YEAR(A134)&amp;"-"&amp;RIGHT(YEAR(A134)+1,2),YEAR(A134)-1&amp;"-"&amp;RIGHT(YEAR(A134),2)))</f>
      </c>
    </row>
    <row r="135" spans="1:10" x14ac:dyDescent="0.25">
      <c r="A135" s="10"/>
      <c r="B135" s="11"/>
      <c r="C135" s="11"/>
      <c r="D135" s="11"/>
      <c r="E135" s="12"/>
      <c r="F135" s="12"/>
      <c r="G135" s="12"/>
      <c r="H135" s="12"/>
      <c r="I135" s="13">
        <f>IF(E135="","",E135-F135-G135-H135)</f>
      </c>
      <c r="J135" s="14">
        <f>IF(A135="","",IF(A135&gt;=DATE(YEAR(A135),4,6),YEAR(A135)&amp;"-"&amp;RIGHT(YEAR(A135)+1,2),YEAR(A135)-1&amp;"-"&amp;RIGHT(YEAR(A135),2)))</f>
      </c>
    </row>
    <row r="136" spans="1:10" x14ac:dyDescent="0.25">
      <c r="A136" s="10"/>
      <c r="B136" s="11"/>
      <c r="C136" s="11"/>
      <c r="D136" s="11"/>
      <c r="E136" s="12"/>
      <c r="F136" s="12"/>
      <c r="G136" s="12"/>
      <c r="H136" s="12"/>
      <c r="I136" s="13">
        <f>IF(E136="","",E136-F136-G136-H136)</f>
      </c>
      <c r="J136" s="14">
        <f>IF(A136="","",IF(A136&gt;=DATE(YEAR(A136),4,6),YEAR(A136)&amp;"-"&amp;RIGHT(YEAR(A136)+1,2),YEAR(A136)-1&amp;"-"&amp;RIGHT(YEAR(A136),2)))</f>
      </c>
    </row>
    <row r="137" spans="1:10" x14ac:dyDescent="0.25">
      <c r="A137" s="10"/>
      <c r="B137" s="11"/>
      <c r="C137" s="11"/>
      <c r="D137" s="11"/>
      <c r="E137" s="12"/>
      <c r="F137" s="12"/>
      <c r="G137" s="12"/>
      <c r="H137" s="12"/>
      <c r="I137" s="13">
        <f>IF(E137="","",E137-F137-G137-H137)</f>
      </c>
      <c r="J137" s="14">
        <f>IF(A137="","",IF(A137&gt;=DATE(YEAR(A137),4,6),YEAR(A137)&amp;"-"&amp;RIGHT(YEAR(A137)+1,2),YEAR(A137)-1&amp;"-"&amp;RIGHT(YEAR(A137),2)))</f>
      </c>
    </row>
    <row r="138" spans="1:10" x14ac:dyDescent="0.25">
      <c r="A138" s="10"/>
      <c r="B138" s="11"/>
      <c r="C138" s="11"/>
      <c r="D138" s="11"/>
      <c r="E138" s="12"/>
      <c r="F138" s="12"/>
      <c r="G138" s="12"/>
      <c r="H138" s="12"/>
      <c r="I138" s="13">
        <f>IF(E138="","",E138-F138-G138-H138)</f>
      </c>
      <c r="J138" s="14">
        <f>IF(A138="","",IF(A138&gt;=DATE(YEAR(A138),4,6),YEAR(A138)&amp;"-"&amp;RIGHT(YEAR(A138)+1,2),YEAR(A138)-1&amp;"-"&amp;RIGHT(YEAR(A138),2)))</f>
      </c>
    </row>
    <row r="139" spans="1:10" x14ac:dyDescent="0.25">
      <c r="A139" s="10"/>
      <c r="B139" s="11"/>
      <c r="C139" s="11"/>
      <c r="D139" s="11"/>
      <c r="E139" s="12"/>
      <c r="F139" s="12"/>
      <c r="G139" s="12"/>
      <c r="H139" s="12"/>
      <c r="I139" s="13">
        <f>IF(E139="","",E139-F139-G139-H139)</f>
      </c>
      <c r="J139" s="14">
        <f>IF(A139="","",IF(A139&gt;=DATE(YEAR(A139),4,6),YEAR(A139)&amp;"-"&amp;RIGHT(YEAR(A139)+1,2),YEAR(A139)-1&amp;"-"&amp;RIGHT(YEAR(A139),2)))</f>
      </c>
    </row>
    <row r="140" spans="1:10" x14ac:dyDescent="0.25">
      <c r="A140" s="10"/>
      <c r="B140" s="11"/>
      <c r="C140" s="11"/>
      <c r="D140" s="11"/>
      <c r="E140" s="12"/>
      <c r="F140" s="12"/>
      <c r="G140" s="12"/>
      <c r="H140" s="12"/>
      <c r="I140" s="13">
        <f>IF(E140="","",E140-F140-G140-H140)</f>
      </c>
      <c r="J140" s="14">
        <f>IF(A140="","",IF(A140&gt;=DATE(YEAR(A140),4,6),YEAR(A140)&amp;"-"&amp;RIGHT(YEAR(A140)+1,2),YEAR(A140)-1&amp;"-"&amp;RIGHT(YEAR(A140),2)))</f>
      </c>
    </row>
    <row r="141" spans="1:10" x14ac:dyDescent="0.25">
      <c r="A141" s="10"/>
      <c r="B141" s="11"/>
      <c r="C141" s="11"/>
      <c r="D141" s="11"/>
      <c r="E141" s="12"/>
      <c r="F141" s="12"/>
      <c r="G141" s="12"/>
      <c r="H141" s="12"/>
      <c r="I141" s="13">
        <f>IF(E141="","",E141-F141-G141-H141)</f>
      </c>
      <c r="J141" s="14">
        <f>IF(A141="","",IF(A141&gt;=DATE(YEAR(A141),4,6),YEAR(A141)&amp;"-"&amp;RIGHT(YEAR(A141)+1,2),YEAR(A141)-1&amp;"-"&amp;RIGHT(YEAR(A141),2)))</f>
      </c>
    </row>
    <row r="142" spans="1:10" x14ac:dyDescent="0.25">
      <c r="A142" s="10"/>
      <c r="B142" s="11"/>
      <c r="C142" s="11"/>
      <c r="D142" s="11"/>
      <c r="E142" s="12"/>
      <c r="F142" s="12"/>
      <c r="G142" s="12"/>
      <c r="H142" s="12"/>
      <c r="I142" s="13">
        <f>IF(E142="","",E142-F142-G142-H142)</f>
      </c>
      <c r="J142" s="14">
        <f>IF(A142="","",IF(A142&gt;=DATE(YEAR(A142),4,6),YEAR(A142)&amp;"-"&amp;RIGHT(YEAR(A142)+1,2),YEAR(A142)-1&amp;"-"&amp;RIGHT(YEAR(A142),2)))</f>
      </c>
    </row>
    <row r="143" spans="1:10" x14ac:dyDescent="0.25">
      <c r="A143" s="10"/>
      <c r="B143" s="11"/>
      <c r="C143" s="11"/>
      <c r="D143" s="11"/>
      <c r="E143" s="12"/>
      <c r="F143" s="12"/>
      <c r="G143" s="12"/>
      <c r="H143" s="12"/>
      <c r="I143" s="13">
        <f>IF(E143="","",E143-F143-G143-H143)</f>
      </c>
      <c r="J143" s="14">
        <f>IF(A143="","",IF(A143&gt;=DATE(YEAR(A143),4,6),YEAR(A143)&amp;"-"&amp;RIGHT(YEAR(A143)+1,2),YEAR(A143)-1&amp;"-"&amp;RIGHT(YEAR(A143),2)))</f>
      </c>
    </row>
    <row r="144" spans="1:10" x14ac:dyDescent="0.25">
      <c r="A144" s="10"/>
      <c r="B144" s="11"/>
      <c r="C144" s="11"/>
      <c r="D144" s="11"/>
      <c r="E144" s="12"/>
      <c r="F144" s="12"/>
      <c r="G144" s="12"/>
      <c r="H144" s="12"/>
      <c r="I144" s="13">
        <f>IF(E144="","",E144-F144-G144-H144)</f>
      </c>
      <c r="J144" s="14">
        <f>IF(A144="","",IF(A144&gt;=DATE(YEAR(A144),4,6),YEAR(A144)&amp;"-"&amp;RIGHT(YEAR(A144)+1,2),YEAR(A144)-1&amp;"-"&amp;RIGHT(YEAR(A144),2)))</f>
      </c>
    </row>
    <row r="145" spans="1:10" x14ac:dyDescent="0.25">
      <c r="A145" s="10"/>
      <c r="B145" s="11"/>
      <c r="C145" s="11"/>
      <c r="D145" s="11"/>
      <c r="E145" s="12"/>
      <c r="F145" s="12"/>
      <c r="G145" s="12"/>
      <c r="H145" s="12"/>
      <c r="I145" s="13">
        <f>IF(E145="","",E145-F145-G145-H145)</f>
      </c>
      <c r="J145" s="14">
        <f>IF(A145="","",IF(A145&gt;=DATE(YEAR(A145),4,6),YEAR(A145)&amp;"-"&amp;RIGHT(YEAR(A145)+1,2),YEAR(A145)-1&amp;"-"&amp;RIGHT(YEAR(A145),2)))</f>
      </c>
    </row>
    <row r="146" spans="1:10" x14ac:dyDescent="0.25">
      <c r="A146" s="10"/>
      <c r="B146" s="11"/>
      <c r="C146" s="11"/>
      <c r="D146" s="11"/>
      <c r="E146" s="12"/>
      <c r="F146" s="12"/>
      <c r="G146" s="12"/>
      <c r="H146" s="12"/>
      <c r="I146" s="13">
        <f>IF(E146="","",E146-F146-G146-H146)</f>
      </c>
      <c r="J146" s="14">
        <f>IF(A146="","",IF(A146&gt;=DATE(YEAR(A146),4,6),YEAR(A146)&amp;"-"&amp;RIGHT(YEAR(A146)+1,2),YEAR(A146)-1&amp;"-"&amp;RIGHT(YEAR(A146),2)))</f>
      </c>
    </row>
    <row r="147" spans="1:10" x14ac:dyDescent="0.25">
      <c r="A147" s="10"/>
      <c r="B147" s="11"/>
      <c r="C147" s="11"/>
      <c r="D147" s="11"/>
      <c r="E147" s="12"/>
      <c r="F147" s="12"/>
      <c r="G147" s="12"/>
      <c r="H147" s="12"/>
      <c r="I147" s="13">
        <f>IF(E147="","",E147-F147-G147-H147)</f>
      </c>
      <c r="J147" s="14">
        <f>IF(A147="","",IF(A147&gt;=DATE(YEAR(A147),4,6),YEAR(A147)&amp;"-"&amp;RIGHT(YEAR(A147)+1,2),YEAR(A147)-1&amp;"-"&amp;RIGHT(YEAR(A147),2)))</f>
      </c>
    </row>
    <row r="148" spans="1:10" x14ac:dyDescent="0.25">
      <c r="A148" s="10"/>
      <c r="B148" s="11"/>
      <c r="C148" s="11"/>
      <c r="D148" s="11"/>
      <c r="E148" s="12"/>
      <c r="F148" s="12"/>
      <c r="G148" s="12"/>
      <c r="H148" s="12"/>
      <c r="I148" s="13">
        <f>IF(E148="","",E148-F148-G148-H148)</f>
      </c>
      <c r="J148" s="14">
        <f>IF(A148="","",IF(A148&gt;=DATE(YEAR(A148),4,6),YEAR(A148)&amp;"-"&amp;RIGHT(YEAR(A148)+1,2),YEAR(A148)-1&amp;"-"&amp;RIGHT(YEAR(A148),2)))</f>
      </c>
    </row>
    <row r="149" spans="1:10" x14ac:dyDescent="0.25">
      <c r="A149" s="10"/>
      <c r="B149" s="11"/>
      <c r="C149" s="11"/>
      <c r="D149" s="11"/>
      <c r="E149" s="12"/>
      <c r="F149" s="12"/>
      <c r="G149" s="12"/>
      <c r="H149" s="12"/>
      <c r="I149" s="13">
        <f>IF(E149="","",E149-F149-G149-H149)</f>
      </c>
      <c r="J149" s="14">
        <f>IF(A149="","",IF(A149&gt;=DATE(YEAR(A149),4,6),YEAR(A149)&amp;"-"&amp;RIGHT(YEAR(A149)+1,2),YEAR(A149)-1&amp;"-"&amp;RIGHT(YEAR(A149),2)))</f>
      </c>
    </row>
    <row r="150" spans="1:10" x14ac:dyDescent="0.25">
      <c r="A150" s="10"/>
      <c r="B150" s="11"/>
      <c r="C150" s="11"/>
      <c r="D150" s="11"/>
      <c r="E150" s="12"/>
      <c r="F150" s="12"/>
      <c r="G150" s="12"/>
      <c r="H150" s="12"/>
      <c r="I150" s="13">
        <f>IF(E150="","",E150-F150-G150-H150)</f>
      </c>
      <c r="J150" s="14">
        <f>IF(A150="","",IF(A150&gt;=DATE(YEAR(A150),4,6),YEAR(A150)&amp;"-"&amp;RIGHT(YEAR(A150)+1,2),YEAR(A150)-1&amp;"-"&amp;RIGHT(YEAR(A150),2)))</f>
      </c>
    </row>
    <row r="151" spans="1:10" x14ac:dyDescent="0.25">
      <c r="A151" s="10"/>
      <c r="B151" s="11"/>
      <c r="C151" s="11"/>
      <c r="D151" s="11"/>
      <c r="E151" s="12"/>
      <c r="F151" s="12"/>
      <c r="G151" s="12"/>
      <c r="H151" s="12"/>
      <c r="I151" s="13">
        <f>IF(E151="","",E151-F151-G151-H151)</f>
      </c>
      <c r="J151" s="14">
        <f>IF(A151="","",IF(A151&gt;=DATE(YEAR(A151),4,6),YEAR(A151)&amp;"-"&amp;RIGHT(YEAR(A151)+1,2),YEAR(A151)-1&amp;"-"&amp;RIGHT(YEAR(A151),2)))</f>
      </c>
    </row>
    <row r="152" spans="1:10" x14ac:dyDescent="0.25">
      <c r="A152" s="10"/>
      <c r="B152" s="11"/>
      <c r="C152" s="11"/>
      <c r="D152" s="11"/>
      <c r="E152" s="12"/>
      <c r="F152" s="12"/>
      <c r="G152" s="12"/>
      <c r="H152" s="12"/>
      <c r="I152" s="13">
        <f>IF(E152="","",E152-F152-G152-H152)</f>
      </c>
      <c r="J152" s="14">
        <f>IF(A152="","",IF(A152&gt;=DATE(YEAR(A152),4,6),YEAR(A152)&amp;"-"&amp;RIGHT(YEAR(A152)+1,2),YEAR(A152)-1&amp;"-"&amp;RIGHT(YEAR(A152),2)))</f>
      </c>
    </row>
    <row r="153" spans="1:10" x14ac:dyDescent="0.25">
      <c r="A153" s="10"/>
      <c r="B153" s="11"/>
      <c r="C153" s="11"/>
      <c r="D153" s="11"/>
      <c r="E153" s="12"/>
      <c r="F153" s="12"/>
      <c r="G153" s="12"/>
      <c r="H153" s="12"/>
      <c r="I153" s="13">
        <f>IF(E153="","",E153-F153-G153-H153)</f>
      </c>
      <c r="J153" s="14">
        <f>IF(A153="","",IF(A153&gt;=DATE(YEAR(A153),4,6),YEAR(A153)&amp;"-"&amp;RIGHT(YEAR(A153)+1,2),YEAR(A153)-1&amp;"-"&amp;RIGHT(YEAR(A153),2)))</f>
      </c>
    </row>
    <row r="154" spans="1:10" x14ac:dyDescent="0.25">
      <c r="A154" s="10"/>
      <c r="B154" s="11"/>
      <c r="C154" s="11"/>
      <c r="D154" s="11"/>
      <c r="E154" s="12"/>
      <c r="F154" s="12"/>
      <c r="G154" s="12"/>
      <c r="H154" s="12"/>
      <c r="I154" s="13">
        <f>IF(E154="","",E154-F154-G154-H154)</f>
      </c>
      <c r="J154" s="14">
        <f>IF(A154="","",IF(A154&gt;=DATE(YEAR(A154),4,6),YEAR(A154)&amp;"-"&amp;RIGHT(YEAR(A154)+1,2),YEAR(A154)-1&amp;"-"&amp;RIGHT(YEAR(A154),2)))</f>
      </c>
    </row>
    <row r="155" spans="1:10" x14ac:dyDescent="0.25">
      <c r="A155" s="10"/>
      <c r="B155" s="11"/>
      <c r="C155" s="11"/>
      <c r="D155" s="11"/>
      <c r="E155" s="12"/>
      <c r="F155" s="12"/>
      <c r="G155" s="12"/>
      <c r="H155" s="12"/>
      <c r="I155" s="13">
        <f>IF(E155="","",E155-F155-G155-H155)</f>
      </c>
      <c r="J155" s="14">
        <f>IF(A155="","",IF(A155&gt;=DATE(YEAR(A155),4,6),YEAR(A155)&amp;"-"&amp;RIGHT(YEAR(A155)+1,2),YEAR(A155)-1&amp;"-"&amp;RIGHT(YEAR(A155),2)))</f>
      </c>
    </row>
    <row r="156" spans="1:10" x14ac:dyDescent="0.25">
      <c r="A156" s="10"/>
      <c r="B156" s="11"/>
      <c r="C156" s="11"/>
      <c r="D156" s="11"/>
      <c r="E156" s="12"/>
      <c r="F156" s="12"/>
      <c r="G156" s="12"/>
      <c r="H156" s="12"/>
      <c r="I156" s="13">
        <f>IF(E156="","",E156-F156-G156-H156)</f>
      </c>
      <c r="J156" s="14">
        <f>IF(A156="","",IF(A156&gt;=DATE(YEAR(A156),4,6),YEAR(A156)&amp;"-"&amp;RIGHT(YEAR(A156)+1,2),YEAR(A156)-1&amp;"-"&amp;RIGHT(YEAR(A156),2)))</f>
      </c>
    </row>
    <row r="157" spans="1:10" x14ac:dyDescent="0.25">
      <c r="A157" s="10"/>
      <c r="B157" s="11"/>
      <c r="C157" s="11"/>
      <c r="D157" s="11"/>
      <c r="E157" s="12"/>
      <c r="F157" s="12"/>
      <c r="G157" s="12"/>
      <c r="H157" s="12"/>
      <c r="I157" s="13">
        <f>IF(E157="","",E157-F157-G157-H157)</f>
      </c>
      <c r="J157" s="14">
        <f>IF(A157="","",IF(A157&gt;=DATE(YEAR(A157),4,6),YEAR(A157)&amp;"-"&amp;RIGHT(YEAR(A157)+1,2),YEAR(A157)-1&amp;"-"&amp;RIGHT(YEAR(A157),2)))</f>
      </c>
    </row>
    <row r="158" spans="1:10" x14ac:dyDescent="0.25">
      <c r="A158" s="10"/>
      <c r="B158" s="11"/>
      <c r="C158" s="11"/>
      <c r="D158" s="11"/>
      <c r="E158" s="12"/>
      <c r="F158" s="12"/>
      <c r="G158" s="12"/>
      <c r="H158" s="12"/>
      <c r="I158" s="13">
        <f>IF(E158="","",E158-F158-G158-H158)</f>
      </c>
      <c r="J158" s="14">
        <f>IF(A158="","",IF(A158&gt;=DATE(YEAR(A158),4,6),YEAR(A158)&amp;"-"&amp;RIGHT(YEAR(A158)+1,2),YEAR(A158)-1&amp;"-"&amp;RIGHT(YEAR(A158),2)))</f>
      </c>
    </row>
    <row r="159" spans="1:10" x14ac:dyDescent="0.25">
      <c r="A159" s="10"/>
      <c r="B159" s="11"/>
      <c r="C159" s="11"/>
      <c r="D159" s="11"/>
      <c r="E159" s="12"/>
      <c r="F159" s="12"/>
      <c r="G159" s="12"/>
      <c r="H159" s="12"/>
      <c r="I159" s="13">
        <f>IF(E159="","",E159-F159-G159-H159)</f>
      </c>
      <c r="J159" s="14">
        <f>IF(A159="","",IF(A159&gt;=DATE(YEAR(A159),4,6),YEAR(A159)&amp;"-"&amp;RIGHT(YEAR(A159)+1,2),YEAR(A159)-1&amp;"-"&amp;RIGHT(YEAR(A159),2)))</f>
      </c>
    </row>
    <row r="160" spans="1:10" x14ac:dyDescent="0.25">
      <c r="A160" s="10"/>
      <c r="B160" s="11"/>
      <c r="C160" s="11"/>
      <c r="D160" s="11"/>
      <c r="E160" s="12"/>
      <c r="F160" s="12"/>
      <c r="G160" s="12"/>
      <c r="H160" s="12"/>
      <c r="I160" s="13">
        <f>IF(E160="","",E160-F160-G160-H160)</f>
      </c>
      <c r="J160" s="14">
        <f>IF(A160="","",IF(A160&gt;=DATE(YEAR(A160),4,6),YEAR(A160)&amp;"-"&amp;RIGHT(YEAR(A160)+1,2),YEAR(A160)-1&amp;"-"&amp;RIGHT(YEAR(A160),2)))</f>
      </c>
    </row>
    <row r="161" spans="1:10" x14ac:dyDescent="0.25">
      <c r="A161" s="10"/>
      <c r="B161" s="11"/>
      <c r="C161" s="11"/>
      <c r="D161" s="11"/>
      <c r="E161" s="12"/>
      <c r="F161" s="12"/>
      <c r="G161" s="12"/>
      <c r="H161" s="12"/>
      <c r="I161" s="13">
        <f>IF(E161="","",E161-F161-G161-H161)</f>
      </c>
      <c r="J161" s="14">
        <f>IF(A161="","",IF(A161&gt;=DATE(YEAR(A161),4,6),YEAR(A161)&amp;"-"&amp;RIGHT(YEAR(A161)+1,2),YEAR(A161)-1&amp;"-"&amp;RIGHT(YEAR(A161),2)))</f>
      </c>
    </row>
    <row r="162" spans="1:10" x14ac:dyDescent="0.25">
      <c r="A162" s="10"/>
      <c r="B162" s="11"/>
      <c r="C162" s="11"/>
      <c r="D162" s="11"/>
      <c r="E162" s="12"/>
      <c r="F162" s="12"/>
      <c r="G162" s="12"/>
      <c r="H162" s="12"/>
      <c r="I162" s="13">
        <f>IF(E162="","",E162-F162-G162-H162)</f>
      </c>
      <c r="J162" s="14">
        <f>IF(A162="","",IF(A162&gt;=DATE(YEAR(A162),4,6),YEAR(A162)&amp;"-"&amp;RIGHT(YEAR(A162)+1,2),YEAR(A162)-1&amp;"-"&amp;RIGHT(YEAR(A162),2)))</f>
      </c>
    </row>
    <row r="163" spans="1:10" x14ac:dyDescent="0.25">
      <c r="A163" s="10"/>
      <c r="B163" s="11"/>
      <c r="C163" s="11"/>
      <c r="D163" s="11"/>
      <c r="E163" s="12"/>
      <c r="F163" s="12"/>
      <c r="G163" s="12"/>
      <c r="H163" s="12"/>
      <c r="I163" s="13">
        <f>IF(E163="","",E163-F163-G163-H163)</f>
      </c>
      <c r="J163" s="14">
        <f>IF(A163="","",IF(A163&gt;=DATE(YEAR(A163),4,6),YEAR(A163)&amp;"-"&amp;RIGHT(YEAR(A163)+1,2),YEAR(A163)-1&amp;"-"&amp;RIGHT(YEAR(A163),2)))</f>
      </c>
    </row>
    <row r="164" spans="1:10" x14ac:dyDescent="0.25">
      <c r="A164" s="10"/>
      <c r="B164" s="11"/>
      <c r="C164" s="11"/>
      <c r="D164" s="11"/>
      <c r="E164" s="12"/>
      <c r="F164" s="12"/>
      <c r="G164" s="12"/>
      <c r="H164" s="12"/>
      <c r="I164" s="13">
        <f>IF(E164="","",E164-F164-G164-H164)</f>
      </c>
      <c r="J164" s="14">
        <f>IF(A164="","",IF(A164&gt;=DATE(YEAR(A164),4,6),YEAR(A164)&amp;"-"&amp;RIGHT(YEAR(A164)+1,2),YEAR(A164)-1&amp;"-"&amp;RIGHT(YEAR(A164),2)))</f>
      </c>
    </row>
    <row r="165" spans="1:10" x14ac:dyDescent="0.25">
      <c r="A165" s="10"/>
      <c r="B165" s="11"/>
      <c r="C165" s="11"/>
      <c r="D165" s="11"/>
      <c r="E165" s="12"/>
      <c r="F165" s="12"/>
      <c r="G165" s="12"/>
      <c r="H165" s="12"/>
      <c r="I165" s="13">
        <f>IF(E165="","",E165-F165-G165-H165)</f>
      </c>
      <c r="J165" s="14">
        <f>IF(A165="","",IF(A165&gt;=DATE(YEAR(A165),4,6),YEAR(A165)&amp;"-"&amp;RIGHT(YEAR(A165)+1,2),YEAR(A165)-1&amp;"-"&amp;RIGHT(YEAR(A165),2)))</f>
      </c>
    </row>
    <row r="166" spans="1:10" x14ac:dyDescent="0.25">
      <c r="A166" s="10"/>
      <c r="B166" s="11"/>
      <c r="C166" s="11"/>
      <c r="D166" s="11"/>
      <c r="E166" s="12"/>
      <c r="F166" s="12"/>
      <c r="G166" s="12"/>
      <c r="H166" s="12"/>
      <c r="I166" s="13">
        <f>IF(E166="","",E166-F166-G166-H166)</f>
      </c>
      <c r="J166" s="14">
        <f>IF(A166="","",IF(A166&gt;=DATE(YEAR(A166),4,6),YEAR(A166)&amp;"-"&amp;RIGHT(YEAR(A166)+1,2),YEAR(A166)-1&amp;"-"&amp;RIGHT(YEAR(A166),2)))</f>
      </c>
    </row>
    <row r="167" spans="1:10" x14ac:dyDescent="0.25">
      <c r="A167" s="10"/>
      <c r="B167" s="11"/>
      <c r="C167" s="11"/>
      <c r="D167" s="11"/>
      <c r="E167" s="12"/>
      <c r="F167" s="12"/>
      <c r="G167" s="12"/>
      <c r="H167" s="12"/>
      <c r="I167" s="13">
        <f>IF(E167="","",E167-F167-G167-H167)</f>
      </c>
      <c r="J167" s="14">
        <f>IF(A167="","",IF(A167&gt;=DATE(YEAR(A167),4,6),YEAR(A167)&amp;"-"&amp;RIGHT(YEAR(A167)+1,2),YEAR(A167)-1&amp;"-"&amp;RIGHT(YEAR(A167),2)))</f>
      </c>
    </row>
    <row r="168" spans="1:10" x14ac:dyDescent="0.25">
      <c r="A168" s="10"/>
      <c r="B168" s="11"/>
      <c r="C168" s="11"/>
      <c r="D168" s="11"/>
      <c r="E168" s="12"/>
      <c r="F168" s="12"/>
      <c r="G168" s="12"/>
      <c r="H168" s="12"/>
      <c r="I168" s="13">
        <f>IF(E168="","",E168-F168-G168-H168)</f>
      </c>
      <c r="J168" s="14">
        <f>IF(A168="","",IF(A168&gt;=DATE(YEAR(A168),4,6),YEAR(A168)&amp;"-"&amp;RIGHT(YEAR(A168)+1,2),YEAR(A168)-1&amp;"-"&amp;RIGHT(YEAR(A168),2)))</f>
      </c>
    </row>
    <row r="169" spans="1:10" x14ac:dyDescent="0.25">
      <c r="A169" s="10"/>
      <c r="B169" s="11"/>
      <c r="C169" s="11"/>
      <c r="D169" s="11"/>
      <c r="E169" s="12"/>
      <c r="F169" s="12"/>
      <c r="G169" s="12"/>
      <c r="H169" s="12"/>
      <c r="I169" s="13">
        <f>IF(E169="","",E169-F169-G169-H169)</f>
      </c>
      <c r="J169" s="14">
        <f>IF(A169="","",IF(A169&gt;=DATE(YEAR(A169),4,6),YEAR(A169)&amp;"-"&amp;RIGHT(YEAR(A169)+1,2),YEAR(A169)-1&amp;"-"&amp;RIGHT(YEAR(A169),2)))</f>
      </c>
    </row>
    <row r="170" spans="1:10" x14ac:dyDescent="0.25">
      <c r="A170" s="10"/>
      <c r="B170" s="11"/>
      <c r="C170" s="11"/>
      <c r="D170" s="11"/>
      <c r="E170" s="12"/>
      <c r="F170" s="12"/>
      <c r="G170" s="12"/>
      <c r="H170" s="12"/>
      <c r="I170" s="13">
        <f>IF(E170="","",E170-F170-G170-H170)</f>
      </c>
      <c r="J170" s="14">
        <f>IF(A170="","",IF(A170&gt;=DATE(YEAR(A170),4,6),YEAR(A170)&amp;"-"&amp;RIGHT(YEAR(A170)+1,2),YEAR(A170)-1&amp;"-"&amp;RIGHT(YEAR(A170),2)))</f>
      </c>
    </row>
    <row r="171" spans="1:10" x14ac:dyDescent="0.25">
      <c r="A171" s="10"/>
      <c r="B171" s="11"/>
      <c r="C171" s="11"/>
      <c r="D171" s="11"/>
      <c r="E171" s="12"/>
      <c r="F171" s="12"/>
      <c r="G171" s="12"/>
      <c r="H171" s="12"/>
      <c r="I171" s="13">
        <f>IF(E171="","",E171-F171-G171-H171)</f>
      </c>
      <c r="J171" s="14">
        <f>IF(A171="","",IF(A171&gt;=DATE(YEAR(A171),4,6),YEAR(A171)&amp;"-"&amp;RIGHT(YEAR(A171)+1,2),YEAR(A171)-1&amp;"-"&amp;RIGHT(YEAR(A171),2)))</f>
      </c>
    </row>
    <row r="172" spans="1:10" x14ac:dyDescent="0.25">
      <c r="A172" s="10"/>
      <c r="B172" s="11"/>
      <c r="C172" s="11"/>
      <c r="D172" s="11"/>
      <c r="E172" s="12"/>
      <c r="F172" s="12"/>
      <c r="G172" s="12"/>
      <c r="H172" s="12"/>
      <c r="I172" s="13">
        <f>IF(E172="","",E172-F172-G172-H172)</f>
      </c>
      <c r="J172" s="14">
        <f>IF(A172="","",IF(A172&gt;=DATE(YEAR(A172),4,6),YEAR(A172)&amp;"-"&amp;RIGHT(YEAR(A172)+1,2),YEAR(A172)-1&amp;"-"&amp;RIGHT(YEAR(A172),2)))</f>
      </c>
    </row>
    <row r="173" spans="1:10" x14ac:dyDescent="0.25">
      <c r="A173" s="10"/>
      <c r="B173" s="11"/>
      <c r="C173" s="11"/>
      <c r="D173" s="11"/>
      <c r="E173" s="12"/>
      <c r="F173" s="12"/>
      <c r="G173" s="12"/>
      <c r="H173" s="12"/>
      <c r="I173" s="13">
        <f>IF(E173="","",E173-F173-G173-H173)</f>
      </c>
      <c r="J173" s="14">
        <f>IF(A173="","",IF(A173&gt;=DATE(YEAR(A173),4,6),YEAR(A173)&amp;"-"&amp;RIGHT(YEAR(A173)+1,2),YEAR(A173)-1&amp;"-"&amp;RIGHT(YEAR(A173),2)))</f>
      </c>
    </row>
    <row r="174" spans="1:10" x14ac:dyDescent="0.25">
      <c r="A174" s="10"/>
      <c r="B174" s="11"/>
      <c r="C174" s="11"/>
      <c r="D174" s="11"/>
      <c r="E174" s="12"/>
      <c r="F174" s="12"/>
      <c r="G174" s="12"/>
      <c r="H174" s="12"/>
      <c r="I174" s="13">
        <f>IF(E174="","",E174-F174-G174-H174)</f>
      </c>
      <c r="J174" s="14">
        <f>IF(A174="","",IF(A174&gt;=DATE(YEAR(A174),4,6),YEAR(A174)&amp;"-"&amp;RIGHT(YEAR(A174)+1,2),YEAR(A174)-1&amp;"-"&amp;RIGHT(YEAR(A174),2)))</f>
      </c>
    </row>
    <row r="175" spans="1:10" x14ac:dyDescent="0.25">
      <c r="A175" s="10"/>
      <c r="B175" s="11"/>
      <c r="C175" s="11"/>
      <c r="D175" s="11"/>
      <c r="E175" s="12"/>
      <c r="F175" s="12"/>
      <c r="G175" s="12"/>
      <c r="H175" s="12"/>
      <c r="I175" s="13">
        <f>IF(E175="","",E175-F175-G175-H175)</f>
      </c>
      <c r="J175" s="14">
        <f>IF(A175="","",IF(A175&gt;=DATE(YEAR(A175),4,6),YEAR(A175)&amp;"-"&amp;RIGHT(YEAR(A175)+1,2),YEAR(A175)-1&amp;"-"&amp;RIGHT(YEAR(A175),2)))</f>
      </c>
    </row>
    <row r="176" spans="1:10" x14ac:dyDescent="0.25">
      <c r="A176" s="10"/>
      <c r="B176" s="11"/>
      <c r="C176" s="11"/>
      <c r="D176" s="11"/>
      <c r="E176" s="12"/>
      <c r="F176" s="12"/>
      <c r="G176" s="12"/>
      <c r="H176" s="12"/>
      <c r="I176" s="13">
        <f>IF(E176="","",E176-F176-G176-H176)</f>
      </c>
      <c r="J176" s="14">
        <f>IF(A176="","",IF(A176&gt;=DATE(YEAR(A176),4,6),YEAR(A176)&amp;"-"&amp;RIGHT(YEAR(A176)+1,2),YEAR(A176)-1&amp;"-"&amp;RIGHT(YEAR(A176),2)))</f>
      </c>
    </row>
    <row r="177" spans="1:10" x14ac:dyDescent="0.25">
      <c r="A177" s="10"/>
      <c r="B177" s="11"/>
      <c r="C177" s="11"/>
      <c r="D177" s="11"/>
      <c r="E177" s="12"/>
      <c r="F177" s="12"/>
      <c r="G177" s="12"/>
      <c r="H177" s="12"/>
      <c r="I177" s="13">
        <f>IF(E177="","",E177-F177-G177-H177)</f>
      </c>
      <c r="J177" s="14">
        <f>IF(A177="","",IF(A177&gt;=DATE(YEAR(A177),4,6),YEAR(A177)&amp;"-"&amp;RIGHT(YEAR(A177)+1,2),YEAR(A177)-1&amp;"-"&amp;RIGHT(YEAR(A177),2)))</f>
      </c>
    </row>
    <row r="178" spans="1:10" x14ac:dyDescent="0.25">
      <c r="A178" s="10"/>
      <c r="B178" s="11"/>
      <c r="C178" s="11"/>
      <c r="D178" s="11"/>
      <c r="E178" s="12"/>
      <c r="F178" s="12"/>
      <c r="G178" s="12"/>
      <c r="H178" s="12"/>
      <c r="I178" s="13">
        <f>IF(E178="","",E178-F178-G178-H178)</f>
      </c>
      <c r="J178" s="14">
        <f>IF(A178="","",IF(A178&gt;=DATE(YEAR(A178),4,6),YEAR(A178)&amp;"-"&amp;RIGHT(YEAR(A178)+1,2),YEAR(A178)-1&amp;"-"&amp;RIGHT(YEAR(A178),2)))</f>
      </c>
    </row>
    <row r="179" spans="1:10" x14ac:dyDescent="0.25">
      <c r="A179" s="10"/>
      <c r="B179" s="11"/>
      <c r="C179" s="11"/>
      <c r="D179" s="11"/>
      <c r="E179" s="12"/>
      <c r="F179" s="12"/>
      <c r="G179" s="12"/>
      <c r="H179" s="12"/>
      <c r="I179" s="13">
        <f>IF(E179="","",E179-F179-G179-H179)</f>
      </c>
      <c r="J179" s="14">
        <f>IF(A179="","",IF(A179&gt;=DATE(YEAR(A179),4,6),YEAR(A179)&amp;"-"&amp;RIGHT(YEAR(A179)+1,2),YEAR(A179)-1&amp;"-"&amp;RIGHT(YEAR(A179),2)))</f>
      </c>
    </row>
    <row r="180" spans="1:10" x14ac:dyDescent="0.25">
      <c r="A180" s="10"/>
      <c r="B180" s="11"/>
      <c r="C180" s="11"/>
      <c r="D180" s="11"/>
      <c r="E180" s="12"/>
      <c r="F180" s="12"/>
      <c r="G180" s="12"/>
      <c r="H180" s="12"/>
      <c r="I180" s="13">
        <f>IF(E180="","",E180-F180-G180-H180)</f>
      </c>
      <c r="J180" s="14">
        <f>IF(A180="","",IF(A180&gt;=DATE(YEAR(A180),4,6),YEAR(A180)&amp;"-"&amp;RIGHT(YEAR(A180)+1,2),YEAR(A180)-1&amp;"-"&amp;RIGHT(YEAR(A180),2)))</f>
      </c>
    </row>
    <row r="181" spans="1:10" x14ac:dyDescent="0.25">
      <c r="A181" s="10"/>
      <c r="B181" s="11"/>
      <c r="C181" s="11"/>
      <c r="D181" s="11"/>
      <c r="E181" s="12"/>
      <c r="F181" s="12"/>
      <c r="G181" s="12"/>
      <c r="H181" s="12"/>
      <c r="I181" s="13">
        <f>IF(E181="","",E181-F181-G181-H181)</f>
      </c>
      <c r="J181" s="14">
        <f>IF(A181="","",IF(A181&gt;=DATE(YEAR(A181),4,6),YEAR(A181)&amp;"-"&amp;RIGHT(YEAR(A181)+1,2),YEAR(A181)-1&amp;"-"&amp;RIGHT(YEAR(A181),2)))</f>
      </c>
    </row>
    <row r="182" spans="1:10" x14ac:dyDescent="0.25">
      <c r="A182" s="10"/>
      <c r="B182" s="11"/>
      <c r="C182" s="11"/>
      <c r="D182" s="11"/>
      <c r="E182" s="12"/>
      <c r="F182" s="12"/>
      <c r="G182" s="12"/>
      <c r="H182" s="12"/>
      <c r="I182" s="13">
        <f>IF(E182="","",E182-F182-G182-H182)</f>
      </c>
      <c r="J182" s="14">
        <f>IF(A182="","",IF(A182&gt;=DATE(YEAR(A182),4,6),YEAR(A182)&amp;"-"&amp;RIGHT(YEAR(A182)+1,2),YEAR(A182)-1&amp;"-"&amp;RIGHT(YEAR(A182),2)))</f>
      </c>
    </row>
    <row r="183" spans="1:10" x14ac:dyDescent="0.25">
      <c r="A183" s="10"/>
      <c r="B183" s="11"/>
      <c r="C183" s="11"/>
      <c r="D183" s="11"/>
      <c r="E183" s="12"/>
      <c r="F183" s="12"/>
      <c r="G183" s="12"/>
      <c r="H183" s="12"/>
      <c r="I183" s="13">
        <f>IF(E183="","",E183-F183-G183-H183)</f>
      </c>
      <c r="J183" s="14">
        <f>IF(A183="","",IF(A183&gt;=DATE(YEAR(A183),4,6),YEAR(A183)&amp;"-"&amp;RIGHT(YEAR(A183)+1,2),YEAR(A183)-1&amp;"-"&amp;RIGHT(YEAR(A183),2)))</f>
      </c>
    </row>
    <row r="184" spans="1:10" x14ac:dyDescent="0.25">
      <c r="A184" s="10"/>
      <c r="B184" s="11"/>
      <c r="C184" s="11"/>
      <c r="D184" s="11"/>
      <c r="E184" s="12"/>
      <c r="F184" s="12"/>
      <c r="G184" s="12"/>
      <c r="H184" s="12"/>
      <c r="I184" s="13">
        <f>IF(E184="","",E184-F184-G184-H184)</f>
      </c>
      <c r="J184" s="14">
        <f>IF(A184="","",IF(A184&gt;=DATE(YEAR(A184),4,6),YEAR(A184)&amp;"-"&amp;RIGHT(YEAR(A184)+1,2),YEAR(A184)-1&amp;"-"&amp;RIGHT(YEAR(A184),2)))</f>
      </c>
    </row>
    <row r="185" spans="1:10" x14ac:dyDescent="0.25">
      <c r="A185" s="10"/>
      <c r="B185" s="11"/>
      <c r="C185" s="11"/>
      <c r="D185" s="11"/>
      <c r="E185" s="12"/>
      <c r="F185" s="12"/>
      <c r="G185" s="12"/>
      <c r="H185" s="12"/>
      <c r="I185" s="13">
        <f>IF(E185="","",E185-F185-G185-H185)</f>
      </c>
      <c r="J185" s="14">
        <f>IF(A185="","",IF(A185&gt;=DATE(YEAR(A185),4,6),YEAR(A185)&amp;"-"&amp;RIGHT(YEAR(A185)+1,2),YEAR(A185)-1&amp;"-"&amp;RIGHT(YEAR(A185),2)))</f>
      </c>
    </row>
    <row r="186" spans="1:10" x14ac:dyDescent="0.25">
      <c r="A186" s="10"/>
      <c r="B186" s="11"/>
      <c r="C186" s="11"/>
      <c r="D186" s="11"/>
      <c r="E186" s="12"/>
      <c r="F186" s="12"/>
      <c r="G186" s="12"/>
      <c r="H186" s="12"/>
      <c r="I186" s="13">
        <f>IF(E186="","",E186-F186-G186-H186)</f>
      </c>
      <c r="J186" s="14">
        <f>IF(A186="","",IF(A186&gt;=DATE(YEAR(A186),4,6),YEAR(A186)&amp;"-"&amp;RIGHT(YEAR(A186)+1,2),YEAR(A186)-1&amp;"-"&amp;RIGHT(YEAR(A186),2)))</f>
      </c>
    </row>
    <row r="187" spans="1:10" x14ac:dyDescent="0.25">
      <c r="A187" s="10"/>
      <c r="B187" s="11"/>
      <c r="C187" s="11"/>
      <c r="D187" s="11"/>
      <c r="E187" s="12"/>
      <c r="F187" s="12"/>
      <c r="G187" s="12"/>
      <c r="H187" s="12"/>
      <c r="I187" s="13">
        <f>IF(E187="","",E187-F187-G187-H187)</f>
      </c>
      <c r="J187" s="14">
        <f>IF(A187="","",IF(A187&gt;=DATE(YEAR(A187),4,6),YEAR(A187)&amp;"-"&amp;RIGHT(YEAR(A187)+1,2),YEAR(A187)-1&amp;"-"&amp;RIGHT(YEAR(A187),2)))</f>
      </c>
    </row>
    <row r="188" spans="1:10" x14ac:dyDescent="0.25">
      <c r="A188" s="10"/>
      <c r="B188" s="11"/>
      <c r="C188" s="11"/>
      <c r="D188" s="11"/>
      <c r="E188" s="12"/>
      <c r="F188" s="12"/>
      <c r="G188" s="12"/>
      <c r="H188" s="12"/>
      <c r="I188" s="13">
        <f>IF(E188="","",E188-F188-G188-H188)</f>
      </c>
      <c r="J188" s="14">
        <f>IF(A188="","",IF(A188&gt;=DATE(YEAR(A188),4,6),YEAR(A188)&amp;"-"&amp;RIGHT(YEAR(A188)+1,2),YEAR(A188)-1&amp;"-"&amp;RIGHT(YEAR(A188),2)))</f>
      </c>
    </row>
    <row r="189" spans="1:10" x14ac:dyDescent="0.25">
      <c r="A189" s="10"/>
      <c r="B189" s="11"/>
      <c r="C189" s="11"/>
      <c r="D189" s="11"/>
      <c r="E189" s="12"/>
      <c r="F189" s="12"/>
      <c r="G189" s="12"/>
      <c r="H189" s="12"/>
      <c r="I189" s="13">
        <f>IF(E189="","",E189-F189-G189-H189)</f>
      </c>
      <c r="J189" s="14">
        <f>IF(A189="","",IF(A189&gt;=DATE(YEAR(A189),4,6),YEAR(A189)&amp;"-"&amp;RIGHT(YEAR(A189)+1,2),YEAR(A189)-1&amp;"-"&amp;RIGHT(YEAR(A189),2)))</f>
      </c>
    </row>
    <row r="190" spans="1:10" x14ac:dyDescent="0.25">
      <c r="A190" s="10"/>
      <c r="B190" s="11"/>
      <c r="C190" s="11"/>
      <c r="D190" s="11"/>
      <c r="E190" s="12"/>
      <c r="F190" s="12"/>
      <c r="G190" s="12"/>
      <c r="H190" s="12"/>
      <c r="I190" s="13">
        <f>IF(E190="","",E190-F190-G190-H190)</f>
      </c>
      <c r="J190" s="14">
        <f>IF(A190="","",IF(A190&gt;=DATE(YEAR(A190),4,6),YEAR(A190)&amp;"-"&amp;RIGHT(YEAR(A190)+1,2),YEAR(A190)-1&amp;"-"&amp;RIGHT(YEAR(A190),2)))</f>
      </c>
    </row>
    <row r="191" spans="1:10" x14ac:dyDescent="0.25">
      <c r="A191" s="10"/>
      <c r="B191" s="11"/>
      <c r="C191" s="11"/>
      <c r="D191" s="11"/>
      <c r="E191" s="12"/>
      <c r="F191" s="12"/>
      <c r="G191" s="12"/>
      <c r="H191" s="12"/>
      <c r="I191" s="13">
        <f>IF(E191="","",E191-F191-G191-H191)</f>
      </c>
      <c r="J191" s="14">
        <f>IF(A191="","",IF(A191&gt;=DATE(YEAR(A191),4,6),YEAR(A191)&amp;"-"&amp;RIGHT(YEAR(A191)+1,2),YEAR(A191)-1&amp;"-"&amp;RIGHT(YEAR(A191),2)))</f>
      </c>
    </row>
    <row r="192" spans="1:10" x14ac:dyDescent="0.25">
      <c r="A192" s="10"/>
      <c r="B192" s="11"/>
      <c r="C192" s="11"/>
      <c r="D192" s="11"/>
      <c r="E192" s="12"/>
      <c r="F192" s="12"/>
      <c r="G192" s="12"/>
      <c r="H192" s="12"/>
      <c r="I192" s="13">
        <f>IF(E192="","",E192-F192-G192-H192)</f>
      </c>
      <c r="J192" s="14">
        <f>IF(A192="","",IF(A192&gt;=DATE(YEAR(A192),4,6),YEAR(A192)&amp;"-"&amp;RIGHT(YEAR(A192)+1,2),YEAR(A192)-1&amp;"-"&amp;RIGHT(YEAR(A192),2)))</f>
      </c>
    </row>
    <row r="193" spans="1:10" x14ac:dyDescent="0.25">
      <c r="A193" s="10"/>
      <c r="B193" s="11"/>
      <c r="C193" s="11"/>
      <c r="D193" s="11"/>
      <c r="E193" s="12"/>
      <c r="F193" s="12"/>
      <c r="G193" s="12"/>
      <c r="H193" s="12"/>
      <c r="I193" s="13">
        <f>IF(E193="","",E193-F193-G193-H193)</f>
      </c>
      <c r="J193" s="14">
        <f>IF(A193="","",IF(A193&gt;=DATE(YEAR(A193),4,6),YEAR(A193)&amp;"-"&amp;RIGHT(YEAR(A193)+1,2),YEAR(A193)-1&amp;"-"&amp;RIGHT(YEAR(A193),2)))</f>
      </c>
    </row>
    <row r="194" spans="1:10" x14ac:dyDescent="0.25">
      <c r="A194" s="10"/>
      <c r="B194" s="11"/>
      <c r="C194" s="11"/>
      <c r="D194" s="11"/>
      <c r="E194" s="12"/>
      <c r="F194" s="12"/>
      <c r="G194" s="12"/>
      <c r="H194" s="12"/>
      <c r="I194" s="13">
        <f>IF(E194="","",E194-F194-G194-H194)</f>
      </c>
      <c r="J194" s="14">
        <f>IF(A194="","",IF(A194&gt;=DATE(YEAR(A194),4,6),YEAR(A194)&amp;"-"&amp;RIGHT(YEAR(A194)+1,2),YEAR(A194)-1&amp;"-"&amp;RIGHT(YEAR(A194),2)))</f>
      </c>
    </row>
    <row r="195" spans="1:10" x14ac:dyDescent="0.25">
      <c r="A195" s="10"/>
      <c r="B195" s="11"/>
      <c r="C195" s="11"/>
      <c r="D195" s="11"/>
      <c r="E195" s="12"/>
      <c r="F195" s="12"/>
      <c r="G195" s="12"/>
      <c r="H195" s="12"/>
      <c r="I195" s="13">
        <f>IF(E195="","",E195-F195-G195-H195)</f>
      </c>
      <c r="J195" s="14">
        <f>IF(A195="","",IF(A195&gt;=DATE(YEAR(A195),4,6),YEAR(A195)&amp;"-"&amp;RIGHT(YEAR(A195)+1,2),YEAR(A195)-1&amp;"-"&amp;RIGHT(YEAR(A195),2)))</f>
      </c>
    </row>
    <row r="196" spans="1:10" x14ac:dyDescent="0.25">
      <c r="A196" s="10"/>
      <c r="B196" s="11"/>
      <c r="C196" s="11"/>
      <c r="D196" s="11"/>
      <c r="E196" s="12"/>
      <c r="F196" s="12"/>
      <c r="G196" s="12"/>
      <c r="H196" s="12"/>
      <c r="I196" s="13">
        <f>IF(E196="","",E196-F196-G196-H196)</f>
      </c>
      <c r="J196" s="14">
        <f>IF(A196="","",IF(A196&gt;=DATE(YEAR(A196),4,6),YEAR(A196)&amp;"-"&amp;RIGHT(YEAR(A196)+1,2),YEAR(A196)-1&amp;"-"&amp;RIGHT(YEAR(A196),2)))</f>
      </c>
    </row>
    <row r="197" spans="1:10" x14ac:dyDescent="0.25">
      <c r="A197" s="10"/>
      <c r="B197" s="11"/>
      <c r="C197" s="11"/>
      <c r="D197" s="11"/>
      <c r="E197" s="12"/>
      <c r="F197" s="12"/>
      <c r="G197" s="12"/>
      <c r="H197" s="12"/>
      <c r="I197" s="13">
        <f>IF(E197="","",E197-F197-G197-H197)</f>
      </c>
      <c r="J197" s="14">
        <f>IF(A197="","",IF(A197&gt;=DATE(YEAR(A197),4,6),YEAR(A197)&amp;"-"&amp;RIGHT(YEAR(A197)+1,2),YEAR(A197)-1&amp;"-"&amp;RIGHT(YEAR(A197),2)))</f>
      </c>
    </row>
    <row r="198" spans="1:10" x14ac:dyDescent="0.25">
      <c r="A198" s="10"/>
      <c r="B198" s="11"/>
      <c r="C198" s="11"/>
      <c r="D198" s="11"/>
      <c r="E198" s="12"/>
      <c r="F198" s="12"/>
      <c r="G198" s="12"/>
      <c r="H198" s="12"/>
      <c r="I198" s="13">
        <f>IF(E198="","",E198-F198-G198-H198)</f>
      </c>
      <c r="J198" s="14">
        <f>IF(A198="","",IF(A198&gt;=DATE(YEAR(A198),4,6),YEAR(A198)&amp;"-"&amp;RIGHT(YEAR(A198)+1,2),YEAR(A198)-1&amp;"-"&amp;RIGHT(YEAR(A198),2)))</f>
      </c>
    </row>
    <row r="199" spans="1:10" x14ac:dyDescent="0.25">
      <c r="A199" s="10"/>
      <c r="B199" s="11"/>
      <c r="C199" s="11"/>
      <c r="D199" s="11"/>
      <c r="E199" s="12"/>
      <c r="F199" s="12"/>
      <c r="G199" s="12"/>
      <c r="H199" s="12"/>
      <c r="I199" s="13">
        <f>IF(E199="","",E199-F199-G199-H199)</f>
      </c>
      <c r="J199" s="14">
        <f>IF(A199="","",IF(A199&gt;=DATE(YEAR(A199),4,6),YEAR(A199)&amp;"-"&amp;RIGHT(YEAR(A199)+1,2),YEAR(A199)-1&amp;"-"&amp;RIGHT(YEAR(A199),2)))</f>
      </c>
    </row>
    <row r="200" spans="1:10" x14ac:dyDescent="0.25">
      <c r="A200" s="10"/>
      <c r="B200" s="11"/>
      <c r="C200" s="11"/>
      <c r="D200" s="11"/>
      <c r="E200" s="12"/>
      <c r="F200" s="12"/>
      <c r="G200" s="12"/>
      <c r="H200" s="12"/>
      <c r="I200" s="13">
        <f>IF(E200="","",E200-F200-G200-H200)</f>
      </c>
      <c r="J200" s="14">
        <f>IF(A200="","",IF(A200&gt;=DATE(YEAR(A200),4,6),YEAR(A200)&amp;"-"&amp;RIGHT(YEAR(A200)+1,2),YEAR(A200)-1&amp;"-"&amp;RIGHT(YEAR(A200),2)))</f>
      </c>
    </row>
    <row r="201" spans="1:10" x14ac:dyDescent="0.25">
      <c r="A201" s="10"/>
      <c r="B201" s="11"/>
      <c r="C201" s="11"/>
      <c r="D201" s="11"/>
      <c r="E201" s="12"/>
      <c r="F201" s="12"/>
      <c r="G201" s="12"/>
      <c r="H201" s="12"/>
      <c r="I201" s="13">
        <f>IF(E201="","",E201-F201-G201-H201)</f>
      </c>
      <c r="J201" s="14">
        <f>IF(A201="","",IF(A201&gt;=DATE(YEAR(A201),4,6),YEAR(A201)&amp;"-"&amp;RIGHT(YEAR(A201)+1,2),YEAR(A201)-1&amp;"-"&amp;RIGHT(YEAR(A201),2)))</f>
      </c>
    </row>
    <row r="202" spans="1:10" x14ac:dyDescent="0.25">
      <c r="A202" s="10"/>
      <c r="B202" s="11"/>
      <c r="C202" s="11"/>
      <c r="D202" s="11"/>
      <c r="E202" s="12"/>
      <c r="F202" s="12"/>
      <c r="G202" s="12"/>
      <c r="H202" s="12"/>
      <c r="I202" s="13">
        <f>IF(E202="","",E202-F202-G202-H202)</f>
      </c>
      <c r="J202" s="14">
        <f>IF(A202="","",IF(A202&gt;=DATE(YEAR(A202),4,6),YEAR(A202)&amp;"-"&amp;RIGHT(YEAR(A202)+1,2),YEAR(A202)-1&amp;"-"&amp;RIGHT(YEAR(A202),2)))</f>
      </c>
    </row>
    <row r="203" spans="1:10" x14ac:dyDescent="0.25">
      <c r="A203" s="10"/>
      <c r="B203" s="11"/>
      <c r="C203" s="11"/>
      <c r="D203" s="11"/>
      <c r="E203" s="12"/>
      <c r="F203" s="12"/>
      <c r="G203" s="12"/>
      <c r="H203" s="12"/>
      <c r="I203" s="13">
        <f>IF(E203="","",E203-F203-G203-H203)</f>
      </c>
      <c r="J203" s="14">
        <f>IF(A203="","",IF(A203&gt;=DATE(YEAR(A203),4,6),YEAR(A203)&amp;"-"&amp;RIGHT(YEAR(A203)+1,2),YEAR(A203)-1&amp;"-"&amp;RIGHT(YEAR(A203),2)))</f>
      </c>
    </row>
    <row r="204" spans="1:10" x14ac:dyDescent="0.25">
      <c r="A204" s="10"/>
      <c r="B204" s="11"/>
      <c r="C204" s="11"/>
      <c r="D204" s="11"/>
      <c r="E204" s="12"/>
      <c r="F204" s="12"/>
      <c r="G204" s="12"/>
      <c r="H204" s="12"/>
      <c r="I204" s="13">
        <f>IF(E204="","",E204-F204-G204-H204)</f>
      </c>
      <c r="J204" s="14">
        <f>IF(A204="","",IF(A204&gt;=DATE(YEAR(A204),4,6),YEAR(A204)&amp;"-"&amp;RIGHT(YEAR(A204)+1,2),YEAR(A204)-1&amp;"-"&amp;RIGHT(YEAR(A204),2)))</f>
      </c>
    </row>
    <row r="205" spans="1:10" x14ac:dyDescent="0.25">
      <c r="A205" s="10"/>
      <c r="B205" s="11"/>
      <c r="C205" s="11"/>
      <c r="D205" s="11"/>
      <c r="E205" s="12"/>
      <c r="F205" s="12"/>
      <c r="G205" s="12"/>
      <c r="H205" s="12"/>
      <c r="I205" s="13">
        <f>IF(E205="","",E205-F205-G205-H205)</f>
      </c>
      <c r="J205" s="14">
        <f>IF(A205="","",IF(A205&gt;=DATE(YEAR(A205),4,6),YEAR(A205)&amp;"-"&amp;RIGHT(YEAR(A205)+1,2),YEAR(A205)-1&amp;"-"&amp;RIGHT(YEAR(A205),2)))</f>
      </c>
    </row>
    <row r="206" spans="1:10" x14ac:dyDescent="0.25">
      <c r="A206" s="10"/>
      <c r="B206" s="11"/>
      <c r="C206" s="11"/>
      <c r="D206" s="11"/>
      <c r="E206" s="12"/>
      <c r="F206" s="12"/>
      <c r="G206" s="12"/>
      <c r="H206" s="12"/>
      <c r="I206" s="13">
        <f>IF(E206="","",E206-F206-G206-H206)</f>
      </c>
      <c r="J206" s="14">
        <f>IF(A206="","",IF(A206&gt;=DATE(YEAR(A206),4,6),YEAR(A206)&amp;"-"&amp;RIGHT(YEAR(A206)+1,2),YEAR(A206)-1&amp;"-"&amp;RIGHT(YEAR(A206),2)))</f>
      </c>
    </row>
    <row r="207" spans="1:10" x14ac:dyDescent="0.25">
      <c r="A207" s="10"/>
      <c r="B207" s="11"/>
      <c r="C207" s="11"/>
      <c r="D207" s="11"/>
      <c r="E207" s="12"/>
      <c r="F207" s="12"/>
      <c r="G207" s="12"/>
      <c r="H207" s="12"/>
      <c r="I207" s="13">
        <f>IF(E207="","",E207-F207-G207-H207)</f>
      </c>
      <c r="J207" s="14">
        <f>IF(A207="","",IF(A207&gt;=DATE(YEAR(A207),4,6),YEAR(A207)&amp;"-"&amp;RIGHT(YEAR(A207)+1,2),YEAR(A207)-1&amp;"-"&amp;RIGHT(YEAR(A207),2)))</f>
      </c>
    </row>
    <row r="208" spans="1:10" x14ac:dyDescent="0.25">
      <c r="A208" s="10"/>
      <c r="B208" s="11"/>
      <c r="C208" s="11"/>
      <c r="D208" s="11"/>
      <c r="E208" s="12"/>
      <c r="F208" s="12"/>
      <c r="G208" s="12"/>
      <c r="H208" s="12"/>
      <c r="I208" s="13">
        <f>IF(E208="","",E208-F208-G208-H208)</f>
      </c>
      <c r="J208" s="14">
        <f>IF(A208="","",IF(A208&gt;=DATE(YEAR(A208),4,6),YEAR(A208)&amp;"-"&amp;RIGHT(YEAR(A208)+1,2),YEAR(A208)-1&amp;"-"&amp;RIGHT(YEAR(A208),2)))</f>
      </c>
    </row>
    <row r="209" spans="1:10" x14ac:dyDescent="0.25">
      <c r="A209" s="10"/>
      <c r="B209" s="11"/>
      <c r="C209" s="11"/>
      <c r="D209" s="11"/>
      <c r="E209" s="12"/>
      <c r="F209" s="12"/>
      <c r="G209" s="12"/>
      <c r="H209" s="12"/>
      <c r="I209" s="13">
        <f>IF(E209="","",E209-F209-G209-H209)</f>
      </c>
      <c r="J209" s="14">
        <f>IF(A209="","",IF(A209&gt;=DATE(YEAR(A209),4,6),YEAR(A209)&amp;"-"&amp;RIGHT(YEAR(A209)+1,2),YEAR(A209)-1&amp;"-"&amp;RIGHT(YEAR(A209),2)))</f>
      </c>
    </row>
    <row r="210" spans="1:10" x14ac:dyDescent="0.25">
      <c r="A210" s="10"/>
      <c r="B210" s="11"/>
      <c r="C210" s="11"/>
      <c r="D210" s="11"/>
      <c r="E210" s="12"/>
      <c r="F210" s="12"/>
      <c r="G210" s="12"/>
      <c r="H210" s="12"/>
      <c r="I210" s="13">
        <f>IF(E210="","",E210-F210-G210-H210)</f>
      </c>
      <c r="J210" s="14">
        <f>IF(A210="","",IF(A210&gt;=DATE(YEAR(A210),4,6),YEAR(A210)&amp;"-"&amp;RIGHT(YEAR(A210)+1,2),YEAR(A210)-1&amp;"-"&amp;RIGHT(YEAR(A210),2)))</f>
      </c>
    </row>
    <row r="211" spans="1:10" x14ac:dyDescent="0.25">
      <c r="A211" s="10"/>
      <c r="B211" s="11"/>
      <c r="C211" s="11"/>
      <c r="D211" s="11"/>
      <c r="E211" s="12"/>
      <c r="F211" s="12"/>
      <c r="G211" s="12"/>
      <c r="H211" s="12"/>
      <c r="I211" s="13">
        <f>IF(E211="","",E211-F211-G211-H211)</f>
      </c>
      <c r="J211" s="14">
        <f>IF(A211="","",IF(A211&gt;=DATE(YEAR(A211),4,6),YEAR(A211)&amp;"-"&amp;RIGHT(YEAR(A211)+1,2),YEAR(A211)-1&amp;"-"&amp;RIGHT(YEAR(A211),2)))</f>
      </c>
    </row>
    <row r="212" spans="1:10" x14ac:dyDescent="0.25">
      <c r="A212" s="10"/>
      <c r="B212" s="11"/>
      <c r="C212" s="11"/>
      <c r="D212" s="11"/>
      <c r="E212" s="12"/>
      <c r="F212" s="12"/>
      <c r="G212" s="12"/>
      <c r="H212" s="12"/>
      <c r="I212" s="13">
        <f>IF(E212="","",E212-F212-G212-H212)</f>
      </c>
      <c r="J212" s="14">
        <f>IF(A212="","",IF(A212&gt;=DATE(YEAR(A212),4,6),YEAR(A212)&amp;"-"&amp;RIGHT(YEAR(A212)+1,2),YEAR(A212)-1&amp;"-"&amp;RIGHT(YEAR(A212),2)))</f>
      </c>
    </row>
    <row r="213" spans="1:10" x14ac:dyDescent="0.25">
      <c r="A213" s="10"/>
      <c r="B213" s="11"/>
      <c r="C213" s="11"/>
      <c r="D213" s="11"/>
      <c r="E213" s="12"/>
      <c r="F213" s="12"/>
      <c r="G213" s="12"/>
      <c r="H213" s="12"/>
      <c r="I213" s="13">
        <f>IF(E213="","",E213-F213-G213-H213)</f>
      </c>
      <c r="J213" s="14">
        <f>IF(A213="","",IF(A213&gt;=DATE(YEAR(A213),4,6),YEAR(A213)&amp;"-"&amp;RIGHT(YEAR(A213)+1,2),YEAR(A213)-1&amp;"-"&amp;RIGHT(YEAR(A213),2)))</f>
      </c>
    </row>
    <row r="214" spans="1:10" x14ac:dyDescent="0.25">
      <c r="A214" s="10"/>
      <c r="B214" s="11"/>
      <c r="C214" s="11"/>
      <c r="D214" s="11"/>
      <c r="E214" s="12"/>
      <c r="F214" s="12"/>
      <c r="G214" s="12"/>
      <c r="H214" s="12"/>
      <c r="I214" s="13">
        <f>IF(E214="","",E214-F214-G214-H214)</f>
      </c>
      <c r="J214" s="14">
        <f>IF(A214="","",IF(A214&gt;=DATE(YEAR(A214),4,6),YEAR(A214)&amp;"-"&amp;RIGHT(YEAR(A214)+1,2),YEAR(A214)-1&amp;"-"&amp;RIGHT(YEAR(A214),2)))</f>
      </c>
    </row>
    <row r="215" spans="1:10" x14ac:dyDescent="0.25">
      <c r="A215" s="10"/>
      <c r="B215" s="11"/>
      <c r="C215" s="11"/>
      <c r="D215" s="11"/>
      <c r="E215" s="12"/>
      <c r="F215" s="12"/>
      <c r="G215" s="12"/>
      <c r="H215" s="12"/>
      <c r="I215" s="13">
        <f>IF(E215="","",E215-F215-G215-H215)</f>
      </c>
      <c r="J215" s="14">
        <f>IF(A215="","",IF(A215&gt;=DATE(YEAR(A215),4,6),YEAR(A215)&amp;"-"&amp;RIGHT(YEAR(A215)+1,2),YEAR(A215)-1&amp;"-"&amp;RIGHT(YEAR(A215),2)))</f>
      </c>
    </row>
    <row r="216" spans="1:10" x14ac:dyDescent="0.25">
      <c r="A216" s="10"/>
      <c r="B216" s="11"/>
      <c r="C216" s="11"/>
      <c r="D216" s="11"/>
      <c r="E216" s="12"/>
      <c r="F216" s="12"/>
      <c r="G216" s="12"/>
      <c r="H216" s="12"/>
      <c r="I216" s="13">
        <f>IF(E216="","",E216-F216-G216-H216)</f>
      </c>
      <c r="J216" s="14">
        <f>IF(A216="","",IF(A216&gt;=DATE(YEAR(A216),4,6),YEAR(A216)&amp;"-"&amp;RIGHT(YEAR(A216)+1,2),YEAR(A216)-1&amp;"-"&amp;RIGHT(YEAR(A216),2)))</f>
      </c>
    </row>
    <row r="217" spans="1:10" x14ac:dyDescent="0.25">
      <c r="A217" s="10"/>
      <c r="B217" s="11"/>
      <c r="C217" s="11"/>
      <c r="D217" s="11"/>
      <c r="E217" s="12"/>
      <c r="F217" s="12"/>
      <c r="G217" s="12"/>
      <c r="H217" s="12"/>
      <c r="I217" s="13">
        <f>IF(E217="","",E217-F217-G217-H217)</f>
      </c>
      <c r="J217" s="14">
        <f>IF(A217="","",IF(A217&gt;=DATE(YEAR(A217),4,6),YEAR(A217)&amp;"-"&amp;RIGHT(YEAR(A217)+1,2),YEAR(A217)-1&amp;"-"&amp;RIGHT(YEAR(A217),2)))</f>
      </c>
    </row>
    <row r="218" spans="1:10" x14ac:dyDescent="0.25">
      <c r="A218" s="10"/>
      <c r="B218" s="11"/>
      <c r="C218" s="11"/>
      <c r="D218" s="11"/>
      <c r="E218" s="12"/>
      <c r="F218" s="12"/>
      <c r="G218" s="12"/>
      <c r="H218" s="12"/>
      <c r="I218" s="13">
        <f>IF(E218="","",E218-F218-G218-H218)</f>
      </c>
      <c r="J218" s="14">
        <f>IF(A218="","",IF(A218&gt;=DATE(YEAR(A218),4,6),YEAR(A218)&amp;"-"&amp;RIGHT(YEAR(A218)+1,2),YEAR(A218)-1&amp;"-"&amp;RIGHT(YEAR(A218),2)))</f>
      </c>
    </row>
    <row r="219" spans="1:10" x14ac:dyDescent="0.25">
      <c r="A219" s="10"/>
      <c r="B219" s="11"/>
      <c r="C219" s="11"/>
      <c r="D219" s="11"/>
      <c r="E219" s="12"/>
      <c r="F219" s="12"/>
      <c r="G219" s="12"/>
      <c r="H219" s="12"/>
      <c r="I219" s="13">
        <f>IF(E219="","",E219-F219-G219-H219)</f>
      </c>
      <c r="J219" s="14">
        <f>IF(A219="","",IF(A219&gt;=DATE(YEAR(A219),4,6),YEAR(A219)&amp;"-"&amp;RIGHT(YEAR(A219)+1,2),YEAR(A219)-1&amp;"-"&amp;RIGHT(YEAR(A219),2)))</f>
      </c>
    </row>
    <row r="220" spans="1:10" x14ac:dyDescent="0.25">
      <c r="A220" s="10"/>
      <c r="B220" s="11"/>
      <c r="C220" s="11"/>
      <c r="D220" s="11"/>
      <c r="E220" s="12"/>
      <c r="F220" s="12"/>
      <c r="G220" s="12"/>
      <c r="H220" s="12"/>
      <c r="I220" s="13">
        <f>IF(E220="","",E220-F220-G220-H220)</f>
      </c>
      <c r="J220" s="14">
        <f>IF(A220="","",IF(A220&gt;=DATE(YEAR(A220),4,6),YEAR(A220)&amp;"-"&amp;RIGHT(YEAR(A220)+1,2),YEAR(A220)-1&amp;"-"&amp;RIGHT(YEAR(A220),2)))</f>
      </c>
    </row>
    <row r="221" spans="1:10" x14ac:dyDescent="0.25">
      <c r="A221" s="10"/>
      <c r="B221" s="11"/>
      <c r="C221" s="11"/>
      <c r="D221" s="11"/>
      <c r="E221" s="12"/>
      <c r="F221" s="12"/>
      <c r="G221" s="12"/>
      <c r="H221" s="12"/>
      <c r="I221" s="13">
        <f>IF(E221="","",E221-F221-G221-H221)</f>
      </c>
      <c r="J221" s="14">
        <f>IF(A221="","",IF(A221&gt;=DATE(YEAR(A221),4,6),YEAR(A221)&amp;"-"&amp;RIGHT(YEAR(A221)+1,2),YEAR(A221)-1&amp;"-"&amp;RIGHT(YEAR(A221),2)))</f>
      </c>
    </row>
    <row r="222" spans="1:10" x14ac:dyDescent="0.25">
      <c r="A222" s="10"/>
      <c r="B222" s="11"/>
      <c r="C222" s="11"/>
      <c r="D222" s="11"/>
      <c r="E222" s="12"/>
      <c r="F222" s="12"/>
      <c r="G222" s="12"/>
      <c r="H222" s="12"/>
      <c r="I222" s="13">
        <f>IF(E222="","",E222-F222-G222-H222)</f>
      </c>
      <c r="J222" s="14">
        <f>IF(A222="","",IF(A222&gt;=DATE(YEAR(A222),4,6),YEAR(A222)&amp;"-"&amp;RIGHT(YEAR(A222)+1,2),YEAR(A222)-1&amp;"-"&amp;RIGHT(YEAR(A222),2)))</f>
      </c>
    </row>
    <row r="223" spans="1:10" x14ac:dyDescent="0.25">
      <c r="A223" s="10"/>
      <c r="B223" s="11"/>
      <c r="C223" s="11"/>
      <c r="D223" s="11"/>
      <c r="E223" s="12"/>
      <c r="F223" s="12"/>
      <c r="G223" s="12"/>
      <c r="H223" s="12"/>
      <c r="I223" s="13">
        <f>IF(E223="","",E223-F223-G223-H223)</f>
      </c>
      <c r="J223" s="14">
        <f>IF(A223="","",IF(A223&gt;=DATE(YEAR(A223),4,6),YEAR(A223)&amp;"-"&amp;RIGHT(YEAR(A223)+1,2),YEAR(A223)-1&amp;"-"&amp;RIGHT(YEAR(A223),2)))</f>
      </c>
    </row>
    <row r="224" spans="1:10" x14ac:dyDescent="0.25">
      <c r="A224" s="10"/>
      <c r="B224" s="11"/>
      <c r="C224" s="11"/>
      <c r="D224" s="11"/>
      <c r="E224" s="12"/>
      <c r="F224" s="12"/>
      <c r="G224" s="12"/>
      <c r="H224" s="12"/>
      <c r="I224" s="13">
        <f>IF(E224="","",E224-F224-G224-H224)</f>
      </c>
      <c r="J224" s="14">
        <f>IF(A224="","",IF(A224&gt;=DATE(YEAR(A224),4,6),YEAR(A224)&amp;"-"&amp;RIGHT(YEAR(A224)+1,2),YEAR(A224)-1&amp;"-"&amp;RIGHT(YEAR(A224),2)))</f>
      </c>
    </row>
    <row r="225" spans="1:10" x14ac:dyDescent="0.25">
      <c r="A225" s="10"/>
      <c r="B225" s="11"/>
      <c r="C225" s="11"/>
      <c r="D225" s="11"/>
      <c r="E225" s="12"/>
      <c r="F225" s="12"/>
      <c r="G225" s="12"/>
      <c r="H225" s="12"/>
      <c r="I225" s="13">
        <f>IF(E225="","",E225-F225-G225-H225)</f>
      </c>
      <c r="J225" s="14">
        <f>IF(A225="","",IF(A225&gt;=DATE(YEAR(A225),4,6),YEAR(A225)&amp;"-"&amp;RIGHT(YEAR(A225)+1,2),YEAR(A225)-1&amp;"-"&amp;RIGHT(YEAR(A225),2)))</f>
      </c>
    </row>
    <row r="226" spans="1:10" x14ac:dyDescent="0.25">
      <c r="A226" s="10"/>
      <c r="B226" s="11"/>
      <c r="C226" s="11"/>
      <c r="D226" s="11"/>
      <c r="E226" s="12"/>
      <c r="F226" s="12"/>
      <c r="G226" s="12"/>
      <c r="H226" s="12"/>
      <c r="I226" s="13">
        <f>IF(E226="","",E226-F226-G226-H226)</f>
      </c>
      <c r="J226" s="14">
        <f>IF(A226="","",IF(A226&gt;=DATE(YEAR(A226),4,6),YEAR(A226)&amp;"-"&amp;RIGHT(YEAR(A226)+1,2),YEAR(A226)-1&amp;"-"&amp;RIGHT(YEAR(A226),2)))</f>
      </c>
    </row>
    <row r="227" spans="1:10" x14ac:dyDescent="0.25">
      <c r="A227" s="10"/>
      <c r="B227" s="11"/>
      <c r="C227" s="11"/>
      <c r="D227" s="11"/>
      <c r="E227" s="12"/>
      <c r="F227" s="12"/>
      <c r="G227" s="12"/>
      <c r="H227" s="12"/>
      <c r="I227" s="13">
        <f>IF(E227="","",E227-F227-G227-H227)</f>
      </c>
      <c r="J227" s="14">
        <f>IF(A227="","",IF(A227&gt;=DATE(YEAR(A227),4,6),YEAR(A227)&amp;"-"&amp;RIGHT(YEAR(A227)+1,2),YEAR(A227)-1&amp;"-"&amp;RIGHT(YEAR(A227),2)))</f>
      </c>
    </row>
    <row r="228" spans="1:10" x14ac:dyDescent="0.25">
      <c r="A228" s="10"/>
      <c r="B228" s="11"/>
      <c r="C228" s="11"/>
      <c r="D228" s="11"/>
      <c r="E228" s="12"/>
      <c r="F228" s="12"/>
      <c r="G228" s="12"/>
      <c r="H228" s="12"/>
      <c r="I228" s="13">
        <f>IF(E228="","",E228-F228-G228-H228)</f>
      </c>
      <c r="J228" s="14">
        <f>IF(A228="","",IF(A228&gt;=DATE(YEAR(A228),4,6),YEAR(A228)&amp;"-"&amp;RIGHT(YEAR(A228)+1,2),YEAR(A228)-1&amp;"-"&amp;RIGHT(YEAR(A228),2)))</f>
      </c>
    </row>
    <row r="229" spans="1:10" x14ac:dyDescent="0.25">
      <c r="A229" s="10"/>
      <c r="B229" s="11"/>
      <c r="C229" s="11"/>
      <c r="D229" s="11"/>
      <c r="E229" s="12"/>
      <c r="F229" s="12"/>
      <c r="G229" s="12"/>
      <c r="H229" s="12"/>
      <c r="I229" s="13">
        <f>IF(E229="","",E229-F229-G229-H229)</f>
      </c>
      <c r="J229" s="14">
        <f>IF(A229="","",IF(A229&gt;=DATE(YEAR(A229),4,6),YEAR(A229)&amp;"-"&amp;RIGHT(YEAR(A229)+1,2),YEAR(A229)-1&amp;"-"&amp;RIGHT(YEAR(A229),2)))</f>
      </c>
    </row>
    <row r="230" spans="1:10" x14ac:dyDescent="0.25">
      <c r="A230" s="10"/>
      <c r="B230" s="11"/>
      <c r="C230" s="11"/>
      <c r="D230" s="11"/>
      <c r="E230" s="12"/>
      <c r="F230" s="12"/>
      <c r="G230" s="12"/>
      <c r="H230" s="12"/>
      <c r="I230" s="13">
        <f>IF(E230="","",E230-F230-G230-H230)</f>
      </c>
      <c r="J230" s="14">
        <f>IF(A230="","",IF(A230&gt;=DATE(YEAR(A230),4,6),YEAR(A230)&amp;"-"&amp;RIGHT(YEAR(A230)+1,2),YEAR(A230)-1&amp;"-"&amp;RIGHT(YEAR(A230),2)))</f>
      </c>
    </row>
    <row r="231" spans="1:10" x14ac:dyDescent="0.25">
      <c r="A231" s="10"/>
      <c r="B231" s="11"/>
      <c r="C231" s="11"/>
      <c r="D231" s="11"/>
      <c r="E231" s="12"/>
      <c r="F231" s="12"/>
      <c r="G231" s="12"/>
      <c r="H231" s="12"/>
      <c r="I231" s="13">
        <f>IF(E231="","",E231-F231-G231-H231)</f>
      </c>
      <c r="J231" s="14">
        <f>IF(A231="","",IF(A231&gt;=DATE(YEAR(A231),4,6),YEAR(A231)&amp;"-"&amp;RIGHT(YEAR(A231)+1,2),YEAR(A231)-1&amp;"-"&amp;RIGHT(YEAR(A231),2)))</f>
      </c>
    </row>
    <row r="232" spans="1:10" x14ac:dyDescent="0.25">
      <c r="A232" s="10"/>
      <c r="B232" s="11"/>
      <c r="C232" s="11"/>
      <c r="D232" s="11"/>
      <c r="E232" s="12"/>
      <c r="F232" s="12"/>
      <c r="G232" s="12"/>
      <c r="H232" s="12"/>
      <c r="I232" s="13">
        <f>IF(E232="","",E232-F232-G232-H232)</f>
      </c>
      <c r="J232" s="14">
        <f>IF(A232="","",IF(A232&gt;=DATE(YEAR(A232),4,6),YEAR(A232)&amp;"-"&amp;RIGHT(YEAR(A232)+1,2),YEAR(A232)-1&amp;"-"&amp;RIGHT(YEAR(A232),2)))</f>
      </c>
    </row>
    <row r="233" spans="1:10" x14ac:dyDescent="0.25">
      <c r="A233" s="10"/>
      <c r="B233" s="11"/>
      <c r="C233" s="11"/>
      <c r="D233" s="11"/>
      <c r="E233" s="12"/>
      <c r="F233" s="12"/>
      <c r="G233" s="12"/>
      <c r="H233" s="12"/>
      <c r="I233" s="13">
        <f>IF(E233="","",E233-F233-G233-H233)</f>
      </c>
      <c r="J233" s="14">
        <f>IF(A233="","",IF(A233&gt;=DATE(YEAR(A233),4,6),YEAR(A233)&amp;"-"&amp;RIGHT(YEAR(A233)+1,2),YEAR(A233)-1&amp;"-"&amp;RIGHT(YEAR(A233),2)))</f>
      </c>
    </row>
    <row r="234" spans="1:10" x14ac:dyDescent="0.25">
      <c r="A234" s="10"/>
      <c r="B234" s="11"/>
      <c r="C234" s="11"/>
      <c r="D234" s="11"/>
      <c r="E234" s="12"/>
      <c r="F234" s="12"/>
      <c r="G234" s="12"/>
      <c r="H234" s="12"/>
      <c r="I234" s="13">
        <f>IF(E234="","",E234-F234-G234-H234)</f>
      </c>
      <c r="J234" s="14">
        <f>IF(A234="","",IF(A234&gt;=DATE(YEAR(A234),4,6),YEAR(A234)&amp;"-"&amp;RIGHT(YEAR(A234)+1,2),YEAR(A234)-1&amp;"-"&amp;RIGHT(YEAR(A234),2)))</f>
      </c>
    </row>
    <row r="235" spans="1:10" x14ac:dyDescent="0.25">
      <c r="A235" s="10"/>
      <c r="B235" s="11"/>
      <c r="C235" s="11"/>
      <c r="D235" s="11"/>
      <c r="E235" s="12"/>
      <c r="F235" s="12"/>
      <c r="G235" s="12"/>
      <c r="H235" s="12"/>
      <c r="I235" s="13">
        <f>IF(E235="","",E235-F235-G235-H235)</f>
      </c>
      <c r="J235" s="14">
        <f>IF(A235="","",IF(A235&gt;=DATE(YEAR(A235),4,6),YEAR(A235)&amp;"-"&amp;RIGHT(YEAR(A235)+1,2),YEAR(A235)-1&amp;"-"&amp;RIGHT(YEAR(A235),2)))</f>
      </c>
    </row>
    <row r="236" spans="1:10" x14ac:dyDescent="0.25">
      <c r="A236" s="10"/>
      <c r="B236" s="11"/>
      <c r="C236" s="11"/>
      <c r="D236" s="11"/>
      <c r="E236" s="12"/>
      <c r="F236" s="12"/>
      <c r="G236" s="12"/>
      <c r="H236" s="12"/>
      <c r="I236" s="13">
        <f>IF(E236="","",E236-F236-G236-H236)</f>
      </c>
      <c r="J236" s="14">
        <f>IF(A236="","",IF(A236&gt;=DATE(YEAR(A236),4,6),YEAR(A236)&amp;"-"&amp;RIGHT(YEAR(A236)+1,2),YEAR(A236)-1&amp;"-"&amp;RIGHT(YEAR(A236),2)))</f>
      </c>
    </row>
    <row r="237" spans="1:10" x14ac:dyDescent="0.25">
      <c r="A237" s="10"/>
      <c r="B237" s="11"/>
      <c r="C237" s="11"/>
      <c r="D237" s="11"/>
      <c r="E237" s="12"/>
      <c r="F237" s="12"/>
      <c r="G237" s="12"/>
      <c r="H237" s="12"/>
      <c r="I237" s="13">
        <f>IF(E237="","",E237-F237-G237-H237)</f>
      </c>
      <c r="J237" s="14">
        <f>IF(A237="","",IF(A237&gt;=DATE(YEAR(A237),4,6),YEAR(A237)&amp;"-"&amp;RIGHT(YEAR(A237)+1,2),YEAR(A237)-1&amp;"-"&amp;RIGHT(YEAR(A237),2)))</f>
      </c>
    </row>
    <row r="238" spans="1:10" x14ac:dyDescent="0.25">
      <c r="A238" s="10"/>
      <c r="B238" s="11"/>
      <c r="C238" s="11"/>
      <c r="D238" s="11"/>
      <c r="E238" s="12"/>
      <c r="F238" s="12"/>
      <c r="G238" s="12"/>
      <c r="H238" s="12"/>
      <c r="I238" s="13">
        <f>IF(E238="","",E238-F238-G238-H238)</f>
      </c>
      <c r="J238" s="14">
        <f>IF(A238="","",IF(A238&gt;=DATE(YEAR(A238),4,6),YEAR(A238)&amp;"-"&amp;RIGHT(YEAR(A238)+1,2),YEAR(A238)-1&amp;"-"&amp;RIGHT(YEAR(A238),2)))</f>
      </c>
    </row>
    <row r="239" spans="1:10" x14ac:dyDescent="0.25">
      <c r="A239" s="10"/>
      <c r="B239" s="11"/>
      <c r="C239" s="11"/>
      <c r="D239" s="11"/>
      <c r="E239" s="12"/>
      <c r="F239" s="12"/>
      <c r="G239" s="12"/>
      <c r="H239" s="12"/>
      <c r="I239" s="13">
        <f>IF(E239="","",E239-F239-G239-H239)</f>
      </c>
      <c r="J239" s="14">
        <f>IF(A239="","",IF(A239&gt;=DATE(YEAR(A239),4,6),YEAR(A239)&amp;"-"&amp;RIGHT(YEAR(A239)+1,2),YEAR(A239)-1&amp;"-"&amp;RIGHT(YEAR(A239),2)))</f>
      </c>
    </row>
    <row r="240" spans="1:10" x14ac:dyDescent="0.25">
      <c r="A240" s="10"/>
      <c r="B240" s="11"/>
      <c r="C240" s="11"/>
      <c r="D240" s="11"/>
      <c r="E240" s="12"/>
      <c r="F240" s="12"/>
      <c r="G240" s="12"/>
      <c r="H240" s="12"/>
      <c r="I240" s="13">
        <f>IF(E240="","",E240-F240-G240-H240)</f>
      </c>
      <c r="J240" s="14">
        <f>IF(A240="","",IF(A240&gt;=DATE(YEAR(A240),4,6),YEAR(A240)&amp;"-"&amp;RIGHT(YEAR(A240)+1,2),YEAR(A240)-1&amp;"-"&amp;RIGHT(YEAR(A240),2)))</f>
      </c>
    </row>
    <row r="241" spans="1:10" x14ac:dyDescent="0.25">
      <c r="A241" s="10"/>
      <c r="B241" s="11"/>
      <c r="C241" s="11"/>
      <c r="D241" s="11"/>
      <c r="E241" s="12"/>
      <c r="F241" s="12"/>
      <c r="G241" s="12"/>
      <c r="H241" s="12"/>
      <c r="I241" s="13">
        <f>IF(E241="","",E241-F241-G241-H241)</f>
      </c>
      <c r="J241" s="14">
        <f>IF(A241="","",IF(A241&gt;=DATE(YEAR(A241),4,6),YEAR(A241)&amp;"-"&amp;RIGHT(YEAR(A241)+1,2),YEAR(A241)-1&amp;"-"&amp;RIGHT(YEAR(A241),2)))</f>
      </c>
    </row>
    <row r="242" spans="1:10" x14ac:dyDescent="0.25">
      <c r="A242" s="10"/>
      <c r="B242" s="11"/>
      <c r="C242" s="11"/>
      <c r="D242" s="11"/>
      <c r="E242" s="12"/>
      <c r="F242" s="12"/>
      <c r="G242" s="12"/>
      <c r="H242" s="12"/>
      <c r="I242" s="13">
        <f>IF(E242="","",E242-F242-G242-H242)</f>
      </c>
      <c r="J242" s="14">
        <f>IF(A242="","",IF(A242&gt;=DATE(YEAR(A242),4,6),YEAR(A242)&amp;"-"&amp;RIGHT(YEAR(A242)+1,2),YEAR(A242)-1&amp;"-"&amp;RIGHT(YEAR(A242),2)))</f>
      </c>
    </row>
    <row r="243" spans="1:10" x14ac:dyDescent="0.25">
      <c r="A243" s="10"/>
      <c r="B243" s="11"/>
      <c r="C243" s="11"/>
      <c r="D243" s="11"/>
      <c r="E243" s="12"/>
      <c r="F243" s="12"/>
      <c r="G243" s="12"/>
      <c r="H243" s="12"/>
      <c r="I243" s="13">
        <f>IF(E243="","",E243-F243-G243-H243)</f>
      </c>
      <c r="J243" s="14">
        <f>IF(A243="","",IF(A243&gt;=DATE(YEAR(A243),4,6),YEAR(A243)&amp;"-"&amp;RIGHT(YEAR(A243)+1,2),YEAR(A243)-1&amp;"-"&amp;RIGHT(YEAR(A243),2)))</f>
      </c>
    </row>
    <row r="244" spans="1:10" x14ac:dyDescent="0.25">
      <c r="A244" s="10"/>
      <c r="B244" s="11"/>
      <c r="C244" s="11"/>
      <c r="D244" s="11"/>
      <c r="E244" s="12"/>
      <c r="F244" s="12"/>
      <c r="G244" s="12"/>
      <c r="H244" s="12"/>
      <c r="I244" s="13">
        <f>IF(E244="","",E244-F244-G244-H244)</f>
      </c>
      <c r="J244" s="14">
        <f>IF(A244="","",IF(A244&gt;=DATE(YEAR(A244),4,6),YEAR(A244)&amp;"-"&amp;RIGHT(YEAR(A244)+1,2),YEAR(A244)-1&amp;"-"&amp;RIGHT(YEAR(A244),2)))</f>
      </c>
    </row>
    <row r="245" spans="1:10" x14ac:dyDescent="0.25">
      <c r="A245" s="10"/>
      <c r="B245" s="11"/>
      <c r="C245" s="11"/>
      <c r="D245" s="11"/>
      <c r="E245" s="12"/>
      <c r="F245" s="12"/>
      <c r="G245" s="12"/>
      <c r="H245" s="12"/>
      <c r="I245" s="13">
        <f>IF(E245="","",E245-F245-G245-H245)</f>
      </c>
      <c r="J245" s="14">
        <f>IF(A245="","",IF(A245&gt;=DATE(YEAR(A245),4,6),YEAR(A245)&amp;"-"&amp;RIGHT(YEAR(A245)+1,2),YEAR(A245)-1&amp;"-"&amp;RIGHT(YEAR(A245),2)))</f>
      </c>
    </row>
    <row r="246" spans="1:10" x14ac:dyDescent="0.25">
      <c r="A246" s="10"/>
      <c r="B246" s="11"/>
      <c r="C246" s="11"/>
      <c r="D246" s="11"/>
      <c r="E246" s="12"/>
      <c r="F246" s="12"/>
      <c r="G246" s="12"/>
      <c r="H246" s="12"/>
      <c r="I246" s="13">
        <f>IF(E246="","",E246-F246-G246-H246)</f>
      </c>
      <c r="J246" s="14">
        <f>IF(A246="","",IF(A246&gt;=DATE(YEAR(A246),4,6),YEAR(A246)&amp;"-"&amp;RIGHT(YEAR(A246)+1,2),YEAR(A246)-1&amp;"-"&amp;RIGHT(YEAR(A246),2)))</f>
      </c>
    </row>
    <row r="247" spans="1:10" x14ac:dyDescent="0.25">
      <c r="A247" s="10"/>
      <c r="B247" s="11"/>
      <c r="C247" s="11"/>
      <c r="D247" s="11"/>
      <c r="E247" s="12"/>
      <c r="F247" s="12"/>
      <c r="G247" s="12"/>
      <c r="H247" s="12"/>
      <c r="I247" s="13">
        <f>IF(E247="","",E247-F247-G247-H247)</f>
      </c>
      <c r="J247" s="14">
        <f>IF(A247="","",IF(A247&gt;=DATE(YEAR(A247),4,6),YEAR(A247)&amp;"-"&amp;RIGHT(YEAR(A247)+1,2),YEAR(A247)-1&amp;"-"&amp;RIGHT(YEAR(A247),2)))</f>
      </c>
    </row>
    <row r="248" spans="1:10" x14ac:dyDescent="0.25">
      <c r="A248" s="10"/>
      <c r="B248" s="11"/>
      <c r="C248" s="11"/>
      <c r="D248" s="11"/>
      <c r="E248" s="12"/>
      <c r="F248" s="12"/>
      <c r="G248" s="12"/>
      <c r="H248" s="12"/>
      <c r="I248" s="13">
        <f>IF(E248="","",E248-F248-G248-H248)</f>
      </c>
      <c r="J248" s="14">
        <f>IF(A248="","",IF(A248&gt;=DATE(YEAR(A248),4,6),YEAR(A248)&amp;"-"&amp;RIGHT(YEAR(A248)+1,2),YEAR(A248)-1&amp;"-"&amp;RIGHT(YEAR(A248),2)))</f>
      </c>
    </row>
    <row r="249" spans="1:10" x14ac:dyDescent="0.25">
      <c r="A249" s="10"/>
      <c r="B249" s="11"/>
      <c r="C249" s="11"/>
      <c r="D249" s="11"/>
      <c r="E249" s="12"/>
      <c r="F249" s="12"/>
      <c r="G249" s="12"/>
      <c r="H249" s="12"/>
      <c r="I249" s="13">
        <f>IF(E249="","",E249-F249-G249-H249)</f>
      </c>
      <c r="J249" s="14">
        <f>IF(A249="","",IF(A249&gt;=DATE(YEAR(A249),4,6),YEAR(A249)&amp;"-"&amp;RIGHT(YEAR(A249)+1,2),YEAR(A249)-1&amp;"-"&amp;RIGHT(YEAR(A249),2)))</f>
      </c>
    </row>
    <row r="250" spans="1:10" x14ac:dyDescent="0.25">
      <c r="A250" s="10"/>
      <c r="B250" s="11"/>
      <c r="C250" s="11"/>
      <c r="D250" s="11"/>
      <c r="E250" s="12"/>
      <c r="F250" s="12"/>
      <c r="G250" s="12"/>
      <c r="H250" s="12"/>
      <c r="I250" s="13">
        <f>IF(E250="","",E250-F250-G250-H250)</f>
      </c>
      <c r="J250" s="14">
        <f>IF(A250="","",IF(A250&gt;=DATE(YEAR(A250),4,6),YEAR(A250)&amp;"-"&amp;RIGHT(YEAR(A250)+1,2),YEAR(A250)-1&amp;"-"&amp;RIGHT(YEAR(A250),2)))</f>
      </c>
    </row>
    <row r="251" spans="1:10" x14ac:dyDescent="0.25">
      <c r="A251" s="10"/>
      <c r="B251" s="11"/>
      <c r="C251" s="11"/>
      <c r="D251" s="11"/>
      <c r="E251" s="12"/>
      <c r="F251" s="12"/>
      <c r="G251" s="12"/>
      <c r="H251" s="12"/>
      <c r="I251" s="13">
        <f>IF(E251="","",E251-F251-G251-H251)</f>
      </c>
      <c r="J251" s="14">
        <f>IF(A251="","",IF(A251&gt;=DATE(YEAR(A251),4,6),YEAR(A251)&amp;"-"&amp;RIGHT(YEAR(A251)+1,2),YEAR(A251)-1&amp;"-"&amp;RIGHT(YEAR(A251),2)))</f>
      </c>
    </row>
    <row r="252" spans="1:10" x14ac:dyDescent="0.25">
      <c r="A252" s="10"/>
      <c r="B252" s="11"/>
      <c r="C252" s="11"/>
      <c r="D252" s="11"/>
      <c r="E252" s="12"/>
      <c r="F252" s="12"/>
      <c r="G252" s="12"/>
      <c r="H252" s="12"/>
      <c r="I252" s="13">
        <f>IF(E252="","",E252-F252-G252-H252)</f>
      </c>
      <c r="J252" s="14">
        <f>IF(A252="","",IF(A252&gt;=DATE(YEAR(A252),4,6),YEAR(A252)&amp;"-"&amp;RIGHT(YEAR(A252)+1,2),YEAR(A252)-1&amp;"-"&amp;RIGHT(YEAR(A252),2)))</f>
      </c>
    </row>
    <row r="253" spans="1:10" x14ac:dyDescent="0.25">
      <c r="A253" s="10"/>
      <c r="B253" s="11"/>
      <c r="C253" s="11"/>
      <c r="D253" s="11"/>
      <c r="E253" s="12"/>
      <c r="F253" s="12"/>
      <c r="G253" s="12"/>
      <c r="H253" s="12"/>
      <c r="I253" s="13">
        <f>IF(E253="","",E253-F253-G253-H253)</f>
      </c>
      <c r="J253" s="14">
        <f>IF(A253="","",IF(A253&gt;=DATE(YEAR(A253),4,6),YEAR(A253)&amp;"-"&amp;RIGHT(YEAR(A253)+1,2),YEAR(A253)-1&amp;"-"&amp;RIGHT(YEAR(A253),2)))</f>
      </c>
    </row>
    <row r="254" spans="1:10" x14ac:dyDescent="0.25">
      <c r="A254" s="10"/>
      <c r="B254" s="11"/>
      <c r="C254" s="11"/>
      <c r="D254" s="11"/>
      <c r="E254" s="12"/>
      <c r="F254" s="12"/>
      <c r="G254" s="12"/>
      <c r="H254" s="12"/>
      <c r="I254" s="13">
        <f>IF(E254="","",E254-F254-G254-H254)</f>
      </c>
      <c r="J254" s="14">
        <f>IF(A254="","",IF(A254&gt;=DATE(YEAR(A254),4,6),YEAR(A254)&amp;"-"&amp;RIGHT(YEAR(A254)+1,2),YEAR(A254)-1&amp;"-"&amp;RIGHT(YEAR(A254),2)))</f>
      </c>
    </row>
    <row r="255" spans="1:10" x14ac:dyDescent="0.25">
      <c r="A255" s="10"/>
      <c r="B255" s="11"/>
      <c r="C255" s="11"/>
      <c r="D255" s="11"/>
      <c r="E255" s="12"/>
      <c r="F255" s="12"/>
      <c r="G255" s="12"/>
      <c r="H255" s="12"/>
      <c r="I255" s="13">
        <f>IF(E255="","",E255-F255-G255-H255)</f>
      </c>
      <c r="J255" s="14">
        <f>IF(A255="","",IF(A255&gt;=DATE(YEAR(A255),4,6),YEAR(A255)&amp;"-"&amp;RIGHT(YEAR(A255)+1,2),YEAR(A255)-1&amp;"-"&amp;RIGHT(YEAR(A255),2)))</f>
      </c>
    </row>
    <row r="256" spans="1:10" x14ac:dyDescent="0.25">
      <c r="A256" s="10"/>
      <c r="B256" s="11"/>
      <c r="C256" s="11"/>
      <c r="D256" s="11"/>
      <c r="E256" s="12"/>
      <c r="F256" s="12"/>
      <c r="G256" s="12"/>
      <c r="H256" s="12"/>
      <c r="I256" s="13">
        <f>IF(E256="","",E256-F256-G256-H256)</f>
      </c>
      <c r="J256" s="14">
        <f>IF(A256="","",IF(A256&gt;=DATE(YEAR(A256),4,6),YEAR(A256)&amp;"-"&amp;RIGHT(YEAR(A256)+1,2),YEAR(A256)-1&amp;"-"&amp;RIGHT(YEAR(A256),2)))</f>
      </c>
    </row>
    <row r="257" spans="1:10" x14ac:dyDescent="0.25">
      <c r="A257" s="10"/>
      <c r="B257" s="11"/>
      <c r="C257" s="11"/>
      <c r="D257" s="11"/>
      <c r="E257" s="12"/>
      <c r="F257" s="12"/>
      <c r="G257" s="12"/>
      <c r="H257" s="12"/>
      <c r="I257" s="13">
        <f>IF(E257="","",E257-F257-G257-H257)</f>
      </c>
      <c r="J257" s="14">
        <f>IF(A257="","",IF(A257&gt;=DATE(YEAR(A257),4,6),YEAR(A257)&amp;"-"&amp;RIGHT(YEAR(A257)+1,2),YEAR(A257)-1&amp;"-"&amp;RIGHT(YEAR(A257),2)))</f>
      </c>
    </row>
    <row r="258" spans="1:10" x14ac:dyDescent="0.25">
      <c r="A258" s="10"/>
      <c r="B258" s="11"/>
      <c r="C258" s="11"/>
      <c r="D258" s="11"/>
      <c r="E258" s="12"/>
      <c r="F258" s="12"/>
      <c r="G258" s="12"/>
      <c r="H258" s="12"/>
      <c r="I258" s="13">
        <f>IF(E258="","",E258-F258-G258-H258)</f>
      </c>
      <c r="J258" s="14">
        <f>IF(A258="","",IF(A258&gt;=DATE(YEAR(A258),4,6),YEAR(A258)&amp;"-"&amp;RIGHT(YEAR(A258)+1,2),YEAR(A258)-1&amp;"-"&amp;RIGHT(YEAR(A258),2)))</f>
      </c>
    </row>
    <row r="259" spans="1:10" x14ac:dyDescent="0.25">
      <c r="A259" s="10"/>
      <c r="B259" s="11"/>
      <c r="C259" s="11"/>
      <c r="D259" s="11"/>
      <c r="E259" s="12"/>
      <c r="F259" s="12"/>
      <c r="G259" s="12"/>
      <c r="H259" s="12"/>
      <c r="I259" s="13">
        <f>IF(E259="","",E259-F259-G259-H259)</f>
      </c>
      <c r="J259" s="14">
        <f>IF(A259="","",IF(A259&gt;=DATE(YEAR(A259),4,6),YEAR(A259)&amp;"-"&amp;RIGHT(YEAR(A259)+1,2),YEAR(A259)-1&amp;"-"&amp;RIGHT(YEAR(A259),2)))</f>
      </c>
    </row>
    <row r="260" spans="1:10" x14ac:dyDescent="0.25">
      <c r="A260" s="10"/>
      <c r="B260" s="11"/>
      <c r="C260" s="11"/>
      <c r="D260" s="11"/>
      <c r="E260" s="12"/>
      <c r="F260" s="12"/>
      <c r="G260" s="12"/>
      <c r="H260" s="12"/>
      <c r="I260" s="13">
        <f>IF(E260="","",E260-F260-G260-H260)</f>
      </c>
      <c r="J260" s="14">
        <f>IF(A260="","",IF(A260&gt;=DATE(YEAR(A260),4,6),YEAR(A260)&amp;"-"&amp;RIGHT(YEAR(A260)+1,2),YEAR(A260)-1&amp;"-"&amp;RIGHT(YEAR(A260),2)))</f>
      </c>
    </row>
    <row r="261" spans="1:10" x14ac:dyDescent="0.25">
      <c r="A261" s="10"/>
      <c r="B261" s="11"/>
      <c r="C261" s="11"/>
      <c r="D261" s="11"/>
      <c r="E261" s="12"/>
      <c r="F261" s="12"/>
      <c r="G261" s="12"/>
      <c r="H261" s="12"/>
      <c r="I261" s="13">
        <f>IF(E261="","",E261-F261-G261-H261)</f>
      </c>
      <c r="J261" s="14">
        <f>IF(A261="","",IF(A261&gt;=DATE(YEAR(A261),4,6),YEAR(A261)&amp;"-"&amp;RIGHT(YEAR(A261)+1,2),YEAR(A261)-1&amp;"-"&amp;RIGHT(YEAR(A261),2)))</f>
      </c>
    </row>
    <row r="262" spans="1:10" x14ac:dyDescent="0.25">
      <c r="A262" s="10"/>
      <c r="B262" s="11"/>
      <c r="C262" s="11"/>
      <c r="D262" s="11"/>
      <c r="E262" s="12"/>
      <c r="F262" s="12"/>
      <c r="G262" s="12"/>
      <c r="H262" s="12"/>
      <c r="I262" s="13">
        <f>IF(E262="","",E262-F262-G262-H262)</f>
      </c>
      <c r="J262" s="14">
        <f>IF(A262="","",IF(A262&gt;=DATE(YEAR(A262),4,6),YEAR(A262)&amp;"-"&amp;RIGHT(YEAR(A262)+1,2),YEAR(A262)-1&amp;"-"&amp;RIGHT(YEAR(A262),2)))</f>
      </c>
    </row>
    <row r="263" spans="1:10" x14ac:dyDescent="0.25">
      <c r="A263" s="10"/>
      <c r="B263" s="11"/>
      <c r="C263" s="11"/>
      <c r="D263" s="11"/>
      <c r="E263" s="12"/>
      <c r="F263" s="12"/>
      <c r="G263" s="12"/>
      <c r="H263" s="12"/>
      <c r="I263" s="13">
        <f>IF(E263="","",E263-F263-G263-H263)</f>
      </c>
      <c r="J263" s="14">
        <f>IF(A263="","",IF(A263&gt;=DATE(YEAR(A263),4,6),YEAR(A263)&amp;"-"&amp;RIGHT(YEAR(A263)+1,2),YEAR(A263)-1&amp;"-"&amp;RIGHT(YEAR(A263),2)))</f>
      </c>
    </row>
    <row r="264" spans="1:10" x14ac:dyDescent="0.25">
      <c r="A264" s="10"/>
      <c r="B264" s="11"/>
      <c r="C264" s="11"/>
      <c r="D264" s="11"/>
      <c r="E264" s="12"/>
      <c r="F264" s="12"/>
      <c r="G264" s="12"/>
      <c r="H264" s="12"/>
      <c r="I264" s="13">
        <f>IF(E264="","",E264-F264-G264-H264)</f>
      </c>
      <c r="J264" s="14">
        <f>IF(A264="","",IF(A264&gt;=DATE(YEAR(A264),4,6),YEAR(A264)&amp;"-"&amp;RIGHT(YEAR(A264)+1,2),YEAR(A264)-1&amp;"-"&amp;RIGHT(YEAR(A264),2)))</f>
      </c>
    </row>
    <row r="265" spans="1:10" x14ac:dyDescent="0.25">
      <c r="A265" s="10"/>
      <c r="B265" s="11"/>
      <c r="C265" s="11"/>
      <c r="D265" s="11"/>
      <c r="E265" s="12"/>
      <c r="F265" s="12"/>
      <c r="G265" s="12"/>
      <c r="H265" s="12"/>
      <c r="I265" s="13">
        <f>IF(E265="","",E265-F265-G265-H265)</f>
      </c>
      <c r="J265" s="14">
        <f>IF(A265="","",IF(A265&gt;=DATE(YEAR(A265),4,6),YEAR(A265)&amp;"-"&amp;RIGHT(YEAR(A265)+1,2),YEAR(A265)-1&amp;"-"&amp;RIGHT(YEAR(A265),2)))</f>
      </c>
    </row>
    <row r="266" spans="1:10" x14ac:dyDescent="0.25">
      <c r="A266" s="10"/>
      <c r="B266" s="11"/>
      <c r="C266" s="11"/>
      <c r="D266" s="11"/>
      <c r="E266" s="12"/>
      <c r="F266" s="12"/>
      <c r="G266" s="12"/>
      <c r="H266" s="12"/>
      <c r="I266" s="13">
        <f>IF(E266="","",E266-F266-G266-H266)</f>
      </c>
      <c r="J266" s="14">
        <f>IF(A266="","",IF(A266&gt;=DATE(YEAR(A266),4,6),YEAR(A266)&amp;"-"&amp;RIGHT(YEAR(A266)+1,2),YEAR(A266)-1&amp;"-"&amp;RIGHT(YEAR(A266),2)))</f>
      </c>
    </row>
    <row r="267" spans="1:10" x14ac:dyDescent="0.25">
      <c r="A267" s="10"/>
      <c r="B267" s="11"/>
      <c r="C267" s="11"/>
      <c r="D267" s="11"/>
      <c r="E267" s="12"/>
      <c r="F267" s="12"/>
      <c r="G267" s="12"/>
      <c r="H267" s="12"/>
      <c r="I267" s="13">
        <f>IF(E267="","",E267-F267-G267-H267)</f>
      </c>
      <c r="J267" s="14">
        <f>IF(A267="","",IF(A267&gt;=DATE(YEAR(A267),4,6),YEAR(A267)&amp;"-"&amp;RIGHT(YEAR(A267)+1,2),YEAR(A267)-1&amp;"-"&amp;RIGHT(YEAR(A267),2)))</f>
      </c>
    </row>
    <row r="268" spans="1:10" x14ac:dyDescent="0.25">
      <c r="A268" s="10"/>
      <c r="B268" s="11"/>
      <c r="C268" s="11"/>
      <c r="D268" s="11"/>
      <c r="E268" s="12"/>
      <c r="F268" s="12"/>
      <c r="G268" s="12"/>
      <c r="H268" s="12"/>
      <c r="I268" s="13">
        <f>IF(E268="","",E268-F268-G268-H268)</f>
      </c>
      <c r="J268" s="14">
        <f>IF(A268="","",IF(A268&gt;=DATE(YEAR(A268),4,6),YEAR(A268)&amp;"-"&amp;RIGHT(YEAR(A268)+1,2),YEAR(A268)-1&amp;"-"&amp;RIGHT(YEAR(A268),2)))</f>
      </c>
    </row>
    <row r="269" spans="1:10" x14ac:dyDescent="0.25">
      <c r="A269" s="10"/>
      <c r="B269" s="11"/>
      <c r="C269" s="11"/>
      <c r="D269" s="11"/>
      <c r="E269" s="12"/>
      <c r="F269" s="12"/>
      <c r="G269" s="12"/>
      <c r="H269" s="12"/>
      <c r="I269" s="13">
        <f>IF(E269="","",E269-F269-G269-H269)</f>
      </c>
      <c r="J269" s="14">
        <f>IF(A269="","",IF(A269&gt;=DATE(YEAR(A269),4,6),YEAR(A269)&amp;"-"&amp;RIGHT(YEAR(A269)+1,2),YEAR(A269)-1&amp;"-"&amp;RIGHT(YEAR(A269),2)))</f>
      </c>
    </row>
    <row r="270" spans="1:10" x14ac:dyDescent="0.25">
      <c r="A270" s="10"/>
      <c r="B270" s="11"/>
      <c r="C270" s="11"/>
      <c r="D270" s="11"/>
      <c r="E270" s="12"/>
      <c r="F270" s="12"/>
      <c r="G270" s="12"/>
      <c r="H270" s="12"/>
      <c r="I270" s="13">
        <f>IF(E270="","",E270-F270-G270-H270)</f>
      </c>
      <c r="J270" s="14">
        <f>IF(A270="","",IF(A270&gt;=DATE(YEAR(A270),4,6),YEAR(A270)&amp;"-"&amp;RIGHT(YEAR(A270)+1,2),YEAR(A270)-1&amp;"-"&amp;RIGHT(YEAR(A270),2)))</f>
      </c>
    </row>
    <row r="271" spans="1:10" x14ac:dyDescent="0.25">
      <c r="A271" s="10"/>
      <c r="B271" s="11"/>
      <c r="C271" s="11"/>
      <c r="D271" s="11"/>
      <c r="E271" s="12"/>
      <c r="F271" s="12"/>
      <c r="G271" s="12"/>
      <c r="H271" s="12"/>
      <c r="I271" s="13">
        <f>IF(E271="","",E271-F271-G271-H271)</f>
      </c>
      <c r="J271" s="14">
        <f>IF(A271="","",IF(A271&gt;=DATE(YEAR(A271),4,6),YEAR(A271)&amp;"-"&amp;RIGHT(YEAR(A271)+1,2),YEAR(A271)-1&amp;"-"&amp;RIGHT(YEAR(A271),2)))</f>
      </c>
    </row>
    <row r="272" spans="1:10" x14ac:dyDescent="0.25">
      <c r="A272" s="10"/>
      <c r="B272" s="11"/>
      <c r="C272" s="11"/>
      <c r="D272" s="11"/>
      <c r="E272" s="12"/>
      <c r="F272" s="12"/>
      <c r="G272" s="12"/>
      <c r="H272" s="12"/>
      <c r="I272" s="13">
        <f>IF(E272="","",E272-F272-G272-H272)</f>
      </c>
      <c r="J272" s="14">
        <f>IF(A272="","",IF(A272&gt;=DATE(YEAR(A272),4,6),YEAR(A272)&amp;"-"&amp;RIGHT(YEAR(A272)+1,2),YEAR(A272)-1&amp;"-"&amp;RIGHT(YEAR(A272),2)))</f>
      </c>
    </row>
    <row r="273" spans="1:10" x14ac:dyDescent="0.25">
      <c r="A273" s="10"/>
      <c r="B273" s="11"/>
      <c r="C273" s="11"/>
      <c r="D273" s="11"/>
      <c r="E273" s="12"/>
      <c r="F273" s="12"/>
      <c r="G273" s="12"/>
      <c r="H273" s="12"/>
      <c r="I273" s="13">
        <f>IF(E273="","",E273-F273-G273-H273)</f>
      </c>
      <c r="J273" s="14">
        <f>IF(A273="","",IF(A273&gt;=DATE(YEAR(A273),4,6),YEAR(A273)&amp;"-"&amp;RIGHT(YEAR(A273)+1,2),YEAR(A273)-1&amp;"-"&amp;RIGHT(YEAR(A273),2)))</f>
      </c>
    </row>
    <row r="274" spans="1:10" x14ac:dyDescent="0.25">
      <c r="A274" s="10"/>
      <c r="B274" s="11"/>
      <c r="C274" s="11"/>
      <c r="D274" s="11"/>
      <c r="E274" s="12"/>
      <c r="F274" s="12"/>
      <c r="G274" s="12"/>
      <c r="H274" s="12"/>
      <c r="I274" s="13">
        <f>IF(E274="","",E274-F274-G274-H274)</f>
      </c>
      <c r="J274" s="14">
        <f>IF(A274="","",IF(A274&gt;=DATE(YEAR(A274),4,6),YEAR(A274)&amp;"-"&amp;RIGHT(YEAR(A274)+1,2),YEAR(A274)-1&amp;"-"&amp;RIGHT(YEAR(A274),2)))</f>
      </c>
    </row>
    <row r="275" spans="1:10" x14ac:dyDescent="0.25">
      <c r="A275" s="10"/>
      <c r="B275" s="11"/>
      <c r="C275" s="11"/>
      <c r="D275" s="11"/>
      <c r="E275" s="12"/>
      <c r="F275" s="12"/>
      <c r="G275" s="12"/>
      <c r="H275" s="12"/>
      <c r="I275" s="13">
        <f>IF(E275="","",E275-F275-G275-H275)</f>
      </c>
      <c r="J275" s="14">
        <f>IF(A275="","",IF(A275&gt;=DATE(YEAR(A275),4,6),YEAR(A275)&amp;"-"&amp;RIGHT(YEAR(A275)+1,2),YEAR(A275)-1&amp;"-"&amp;RIGHT(YEAR(A275),2)))</f>
      </c>
    </row>
    <row r="276" spans="1:10" x14ac:dyDescent="0.25">
      <c r="A276" s="10"/>
      <c r="B276" s="11"/>
      <c r="C276" s="11"/>
      <c r="D276" s="11"/>
      <c r="E276" s="12"/>
      <c r="F276" s="12"/>
      <c r="G276" s="12"/>
      <c r="H276" s="12"/>
      <c r="I276" s="13">
        <f>IF(E276="","",E276-F276-G276-H276)</f>
      </c>
      <c r="J276" s="14">
        <f>IF(A276="","",IF(A276&gt;=DATE(YEAR(A276),4,6),YEAR(A276)&amp;"-"&amp;RIGHT(YEAR(A276)+1,2),YEAR(A276)-1&amp;"-"&amp;RIGHT(YEAR(A276),2)))</f>
      </c>
    </row>
    <row r="277" spans="1:10" x14ac:dyDescent="0.25">
      <c r="A277" s="10"/>
      <c r="B277" s="11"/>
      <c r="C277" s="11"/>
      <c r="D277" s="11"/>
      <c r="E277" s="12"/>
      <c r="F277" s="12"/>
      <c r="G277" s="12"/>
      <c r="H277" s="12"/>
      <c r="I277" s="13">
        <f>IF(E277="","",E277-F277-G277-H277)</f>
      </c>
      <c r="J277" s="14">
        <f>IF(A277="","",IF(A277&gt;=DATE(YEAR(A277),4,6),YEAR(A277)&amp;"-"&amp;RIGHT(YEAR(A277)+1,2),YEAR(A277)-1&amp;"-"&amp;RIGHT(YEAR(A277),2)))</f>
      </c>
    </row>
    <row r="278" spans="1:10" x14ac:dyDescent="0.25">
      <c r="A278" s="10"/>
      <c r="B278" s="11"/>
      <c r="C278" s="11"/>
      <c r="D278" s="11"/>
      <c r="E278" s="12"/>
      <c r="F278" s="12"/>
      <c r="G278" s="12"/>
      <c r="H278" s="12"/>
      <c r="I278" s="13">
        <f>IF(E278="","",E278-F278-G278-H278)</f>
      </c>
      <c r="J278" s="14">
        <f>IF(A278="","",IF(A278&gt;=DATE(YEAR(A278),4,6),YEAR(A278)&amp;"-"&amp;RIGHT(YEAR(A278)+1,2),YEAR(A278)-1&amp;"-"&amp;RIGHT(YEAR(A278),2)))</f>
      </c>
    </row>
    <row r="279" spans="1:10" x14ac:dyDescent="0.25">
      <c r="A279" s="10"/>
      <c r="B279" s="11"/>
      <c r="C279" s="11"/>
      <c r="D279" s="11"/>
      <c r="E279" s="12"/>
      <c r="F279" s="12"/>
      <c r="G279" s="12"/>
      <c r="H279" s="12"/>
      <c r="I279" s="13">
        <f>IF(E279="","",E279-F279-G279-H279)</f>
      </c>
      <c r="J279" s="14">
        <f>IF(A279="","",IF(A279&gt;=DATE(YEAR(A279),4,6),YEAR(A279)&amp;"-"&amp;RIGHT(YEAR(A279)+1,2),YEAR(A279)-1&amp;"-"&amp;RIGHT(YEAR(A279),2)))</f>
      </c>
    </row>
    <row r="280" spans="1:10" x14ac:dyDescent="0.25">
      <c r="A280" s="10"/>
      <c r="B280" s="11"/>
      <c r="C280" s="11"/>
      <c r="D280" s="11"/>
      <c r="E280" s="12"/>
      <c r="F280" s="12"/>
      <c r="G280" s="12"/>
      <c r="H280" s="12"/>
      <c r="I280" s="13">
        <f>IF(E280="","",E280-F280-G280-H280)</f>
      </c>
      <c r="J280" s="14">
        <f>IF(A280="","",IF(A280&gt;=DATE(YEAR(A280),4,6),YEAR(A280)&amp;"-"&amp;RIGHT(YEAR(A280)+1,2),YEAR(A280)-1&amp;"-"&amp;RIGHT(YEAR(A280),2)))</f>
      </c>
    </row>
    <row r="281" spans="1:10" x14ac:dyDescent="0.25">
      <c r="A281" s="10"/>
      <c r="B281" s="11"/>
      <c r="C281" s="11"/>
      <c r="D281" s="11"/>
      <c r="E281" s="12"/>
      <c r="F281" s="12"/>
      <c r="G281" s="12"/>
      <c r="H281" s="12"/>
      <c r="I281" s="13">
        <f>IF(E281="","",E281-F281-G281-H281)</f>
      </c>
      <c r="J281" s="14">
        <f>IF(A281="","",IF(A281&gt;=DATE(YEAR(A281),4,6),YEAR(A281)&amp;"-"&amp;RIGHT(YEAR(A281)+1,2),YEAR(A281)-1&amp;"-"&amp;RIGHT(YEAR(A281),2)))</f>
      </c>
    </row>
    <row r="282" spans="1:10" x14ac:dyDescent="0.25">
      <c r="A282" s="10"/>
      <c r="B282" s="11"/>
      <c r="C282" s="11"/>
      <c r="D282" s="11"/>
      <c r="E282" s="12"/>
      <c r="F282" s="12"/>
      <c r="G282" s="12"/>
      <c r="H282" s="12"/>
      <c r="I282" s="13">
        <f>IF(E282="","",E282-F282-G282-H282)</f>
      </c>
      <c r="J282" s="14">
        <f>IF(A282="","",IF(A282&gt;=DATE(YEAR(A282),4,6),YEAR(A282)&amp;"-"&amp;RIGHT(YEAR(A282)+1,2),YEAR(A282)-1&amp;"-"&amp;RIGHT(YEAR(A282),2)))</f>
      </c>
    </row>
    <row r="283" spans="1:10" x14ac:dyDescent="0.25">
      <c r="A283" s="10"/>
      <c r="B283" s="11"/>
      <c r="C283" s="11"/>
      <c r="D283" s="11"/>
      <c r="E283" s="12"/>
      <c r="F283" s="12"/>
      <c r="G283" s="12"/>
      <c r="H283" s="12"/>
      <c r="I283" s="13">
        <f>IF(E283="","",E283-F283-G283-H283)</f>
      </c>
      <c r="J283" s="14">
        <f>IF(A283="","",IF(A283&gt;=DATE(YEAR(A283),4,6),YEAR(A283)&amp;"-"&amp;RIGHT(YEAR(A283)+1,2),YEAR(A283)-1&amp;"-"&amp;RIGHT(YEAR(A283),2)))</f>
      </c>
    </row>
    <row r="284" spans="1:10" x14ac:dyDescent="0.25">
      <c r="A284" s="10"/>
      <c r="B284" s="11"/>
      <c r="C284" s="11"/>
      <c r="D284" s="11"/>
      <c r="E284" s="12"/>
      <c r="F284" s="12"/>
      <c r="G284" s="12"/>
      <c r="H284" s="12"/>
      <c r="I284" s="13">
        <f>IF(E284="","",E284-F284-G284-H284)</f>
      </c>
      <c r="J284" s="14">
        <f>IF(A284="","",IF(A284&gt;=DATE(YEAR(A284),4,6),YEAR(A284)&amp;"-"&amp;RIGHT(YEAR(A284)+1,2),YEAR(A284)-1&amp;"-"&amp;RIGHT(YEAR(A284),2)))</f>
      </c>
    </row>
    <row r="285" spans="1:10" x14ac:dyDescent="0.25">
      <c r="A285" s="10"/>
      <c r="B285" s="11"/>
      <c r="C285" s="11"/>
      <c r="D285" s="11"/>
      <c r="E285" s="12"/>
      <c r="F285" s="12"/>
      <c r="G285" s="12"/>
      <c r="H285" s="12"/>
      <c r="I285" s="13">
        <f>IF(E285="","",E285-F285-G285-H285)</f>
      </c>
      <c r="J285" s="14">
        <f>IF(A285="","",IF(A285&gt;=DATE(YEAR(A285),4,6),YEAR(A285)&amp;"-"&amp;RIGHT(YEAR(A285)+1,2),YEAR(A285)-1&amp;"-"&amp;RIGHT(YEAR(A285),2)))</f>
      </c>
    </row>
    <row r="286" spans="1:10" x14ac:dyDescent="0.25">
      <c r="A286" s="10"/>
      <c r="B286" s="11"/>
      <c r="C286" s="11"/>
      <c r="D286" s="11"/>
      <c r="E286" s="12"/>
      <c r="F286" s="12"/>
      <c r="G286" s="12"/>
      <c r="H286" s="12"/>
      <c r="I286" s="13">
        <f>IF(E286="","",E286-F286-G286-H286)</f>
      </c>
      <c r="J286" s="14">
        <f>IF(A286="","",IF(A286&gt;=DATE(YEAR(A286),4,6),YEAR(A286)&amp;"-"&amp;RIGHT(YEAR(A286)+1,2),YEAR(A286)-1&amp;"-"&amp;RIGHT(YEAR(A286),2)))</f>
      </c>
    </row>
    <row r="287" spans="1:10" x14ac:dyDescent="0.25">
      <c r="A287" s="10"/>
      <c r="B287" s="11"/>
      <c r="C287" s="11"/>
      <c r="D287" s="11"/>
      <c r="E287" s="12"/>
      <c r="F287" s="12"/>
      <c r="G287" s="12"/>
      <c r="H287" s="12"/>
      <c r="I287" s="13">
        <f>IF(E287="","",E287-F287-G287-H287)</f>
      </c>
      <c r="J287" s="14">
        <f>IF(A287="","",IF(A287&gt;=DATE(YEAR(A287),4,6),YEAR(A287)&amp;"-"&amp;RIGHT(YEAR(A287)+1,2),YEAR(A287)-1&amp;"-"&amp;RIGHT(YEAR(A287),2)))</f>
      </c>
    </row>
    <row r="288" spans="1:10" x14ac:dyDescent="0.25">
      <c r="A288" s="10"/>
      <c r="B288" s="11"/>
      <c r="C288" s="11"/>
      <c r="D288" s="11"/>
      <c r="E288" s="12"/>
      <c r="F288" s="12"/>
      <c r="G288" s="12"/>
      <c r="H288" s="12"/>
      <c r="I288" s="13">
        <f>IF(E288="","",E288-F288-G288-H288)</f>
      </c>
      <c r="J288" s="14">
        <f>IF(A288="","",IF(A288&gt;=DATE(YEAR(A288),4,6),YEAR(A288)&amp;"-"&amp;RIGHT(YEAR(A288)+1,2),YEAR(A288)-1&amp;"-"&amp;RIGHT(YEAR(A288),2)))</f>
      </c>
    </row>
    <row r="289" spans="1:10" x14ac:dyDescent="0.25">
      <c r="A289" s="10"/>
      <c r="B289" s="11"/>
      <c r="C289" s="11"/>
      <c r="D289" s="11"/>
      <c r="E289" s="12"/>
      <c r="F289" s="12"/>
      <c r="G289" s="12"/>
      <c r="H289" s="12"/>
      <c r="I289" s="13">
        <f>IF(E289="","",E289-F289-G289-H289)</f>
      </c>
      <c r="J289" s="14">
        <f>IF(A289="","",IF(A289&gt;=DATE(YEAR(A289),4,6),YEAR(A289)&amp;"-"&amp;RIGHT(YEAR(A289)+1,2),YEAR(A289)-1&amp;"-"&amp;RIGHT(YEAR(A289),2)))</f>
      </c>
    </row>
    <row r="290" spans="1:10" x14ac:dyDescent="0.25">
      <c r="A290" s="10"/>
      <c r="B290" s="11"/>
      <c r="C290" s="11"/>
      <c r="D290" s="11"/>
      <c r="E290" s="12"/>
      <c r="F290" s="12"/>
      <c r="G290" s="12"/>
      <c r="H290" s="12"/>
      <c r="I290" s="13">
        <f>IF(E290="","",E290-F290-G290-H290)</f>
      </c>
      <c r="J290" s="14">
        <f>IF(A290="","",IF(A290&gt;=DATE(YEAR(A290),4,6),YEAR(A290)&amp;"-"&amp;RIGHT(YEAR(A290)+1,2),YEAR(A290)-1&amp;"-"&amp;RIGHT(YEAR(A290),2)))</f>
      </c>
    </row>
    <row r="291" spans="1:10" x14ac:dyDescent="0.25">
      <c r="A291" s="10"/>
      <c r="B291" s="11"/>
      <c r="C291" s="11"/>
      <c r="D291" s="11"/>
      <c r="E291" s="12"/>
      <c r="F291" s="12"/>
      <c r="G291" s="12"/>
      <c r="H291" s="12"/>
      <c r="I291" s="13">
        <f>IF(E291="","",E291-F291-G291-H291)</f>
      </c>
      <c r="J291" s="14">
        <f>IF(A291="","",IF(A291&gt;=DATE(YEAR(A291),4,6),YEAR(A291)&amp;"-"&amp;RIGHT(YEAR(A291)+1,2),YEAR(A291)-1&amp;"-"&amp;RIGHT(YEAR(A291),2)))</f>
      </c>
    </row>
    <row r="292" spans="1:10" x14ac:dyDescent="0.25">
      <c r="A292" s="10"/>
      <c r="B292" s="11"/>
      <c r="C292" s="11"/>
      <c r="D292" s="11"/>
      <c r="E292" s="12"/>
      <c r="F292" s="12"/>
      <c r="G292" s="12"/>
      <c r="H292" s="12"/>
      <c r="I292" s="13">
        <f>IF(E292="","",E292-F292-G292-H292)</f>
      </c>
      <c r="J292" s="14">
        <f>IF(A292="","",IF(A292&gt;=DATE(YEAR(A292),4,6),YEAR(A292)&amp;"-"&amp;RIGHT(YEAR(A292)+1,2),YEAR(A292)-1&amp;"-"&amp;RIGHT(YEAR(A292),2)))</f>
      </c>
    </row>
    <row r="293" spans="1:10" x14ac:dyDescent="0.25">
      <c r="A293" s="10"/>
      <c r="B293" s="11"/>
      <c r="C293" s="11"/>
      <c r="D293" s="11"/>
      <c r="E293" s="12"/>
      <c r="F293" s="12"/>
      <c r="G293" s="12"/>
      <c r="H293" s="12"/>
      <c r="I293" s="13">
        <f>IF(E293="","",E293-F293-G293-H293)</f>
      </c>
      <c r="J293" s="14">
        <f>IF(A293="","",IF(A293&gt;=DATE(YEAR(A293),4,6),YEAR(A293)&amp;"-"&amp;RIGHT(YEAR(A293)+1,2),YEAR(A293)-1&amp;"-"&amp;RIGHT(YEAR(A293),2)))</f>
      </c>
    </row>
    <row r="294" spans="1:10" x14ac:dyDescent="0.25">
      <c r="A294" s="10"/>
      <c r="B294" s="11"/>
      <c r="C294" s="11"/>
      <c r="D294" s="11"/>
      <c r="E294" s="12"/>
      <c r="F294" s="12"/>
      <c r="G294" s="12"/>
      <c r="H294" s="12"/>
      <c r="I294" s="13">
        <f>IF(E294="","",E294-F294-G294-H294)</f>
      </c>
      <c r="J294" s="14">
        <f>IF(A294="","",IF(A294&gt;=DATE(YEAR(A294),4,6),YEAR(A294)&amp;"-"&amp;RIGHT(YEAR(A294)+1,2),YEAR(A294)-1&amp;"-"&amp;RIGHT(YEAR(A294),2)))</f>
      </c>
    </row>
    <row r="295" spans="1:10" x14ac:dyDescent="0.25">
      <c r="A295" s="10"/>
      <c r="B295" s="11"/>
      <c r="C295" s="11"/>
      <c r="D295" s="11"/>
      <c r="E295" s="12"/>
      <c r="F295" s="12"/>
      <c r="G295" s="12"/>
      <c r="H295" s="12"/>
      <c r="I295" s="13">
        <f>IF(E295="","",E295-F295-G295-H295)</f>
      </c>
      <c r="J295" s="14">
        <f>IF(A295="","",IF(A295&gt;=DATE(YEAR(A295),4,6),YEAR(A295)&amp;"-"&amp;RIGHT(YEAR(A295)+1,2),YEAR(A295)-1&amp;"-"&amp;RIGHT(YEAR(A295),2)))</f>
      </c>
    </row>
    <row r="296" spans="1:10" x14ac:dyDescent="0.25">
      <c r="A296" s="10"/>
      <c r="B296" s="11"/>
      <c r="C296" s="11"/>
      <c r="D296" s="11"/>
      <c r="E296" s="12"/>
      <c r="F296" s="12"/>
      <c r="G296" s="12"/>
      <c r="H296" s="12"/>
      <c r="I296" s="13">
        <f>IF(E296="","",E296-F296-G296-H296)</f>
      </c>
      <c r="J296" s="14">
        <f>IF(A296="","",IF(A296&gt;=DATE(YEAR(A296),4,6),YEAR(A296)&amp;"-"&amp;RIGHT(YEAR(A296)+1,2),YEAR(A296)-1&amp;"-"&amp;RIGHT(YEAR(A296),2)))</f>
      </c>
    </row>
    <row r="297" spans="1:10" x14ac:dyDescent="0.25">
      <c r="A297" s="10"/>
      <c r="B297" s="11"/>
      <c r="C297" s="11"/>
      <c r="D297" s="11"/>
      <c r="E297" s="12"/>
      <c r="F297" s="12"/>
      <c r="G297" s="12"/>
      <c r="H297" s="12"/>
      <c r="I297" s="13">
        <f>IF(E297="","",E297-F297-G297-H297)</f>
      </c>
      <c r="J297" s="14">
        <f>IF(A297="","",IF(A297&gt;=DATE(YEAR(A297),4,6),YEAR(A297)&amp;"-"&amp;RIGHT(YEAR(A297)+1,2),YEAR(A297)-1&amp;"-"&amp;RIGHT(YEAR(A297),2)))</f>
      </c>
    </row>
    <row r="298" spans="1:10" x14ac:dyDescent="0.25">
      <c r="A298" s="10"/>
      <c r="B298" s="11"/>
      <c r="C298" s="11"/>
      <c r="D298" s="11"/>
      <c r="E298" s="12"/>
      <c r="F298" s="12"/>
      <c r="G298" s="12"/>
      <c r="H298" s="12"/>
      <c r="I298" s="13">
        <f>IF(E298="","",E298-F298-G298-H298)</f>
      </c>
      <c r="J298" s="14">
        <f>IF(A298="","",IF(A298&gt;=DATE(YEAR(A298),4,6),YEAR(A298)&amp;"-"&amp;RIGHT(YEAR(A298)+1,2),YEAR(A298)-1&amp;"-"&amp;RIGHT(YEAR(A298),2)))</f>
      </c>
    </row>
    <row r="299" spans="1:10" x14ac:dyDescent="0.25">
      <c r="A299" s="10"/>
      <c r="B299" s="11"/>
      <c r="C299" s="11"/>
      <c r="D299" s="11"/>
      <c r="E299" s="12"/>
      <c r="F299" s="12"/>
      <c r="G299" s="12"/>
      <c r="H299" s="12"/>
      <c r="I299" s="13">
        <f>IF(E299="","",E299-F299-G299-H299)</f>
      </c>
      <c r="J299" s="14">
        <f>IF(A299="","",IF(A299&gt;=DATE(YEAR(A299),4,6),YEAR(A299)&amp;"-"&amp;RIGHT(YEAR(A299)+1,2),YEAR(A299)-1&amp;"-"&amp;RIGHT(YEAR(A299),2)))</f>
      </c>
    </row>
    <row r="300" spans="1:10" x14ac:dyDescent="0.25">
      <c r="A300" s="10"/>
      <c r="B300" s="11"/>
      <c r="C300" s="11"/>
      <c r="D300" s="11"/>
      <c r="E300" s="12"/>
      <c r="F300" s="12"/>
      <c r="G300" s="12"/>
      <c r="H300" s="12"/>
      <c r="I300" s="13">
        <f>IF(E300="","",E300-F300-G300-H300)</f>
      </c>
      <c r="J300" s="14">
        <f>IF(A300="","",IF(A300&gt;=DATE(YEAR(A300),4,6),YEAR(A300)&amp;"-"&amp;RIGHT(YEAR(A300)+1,2),YEAR(A300)-1&amp;"-"&amp;RIGHT(YEAR(A300),2)))</f>
      </c>
    </row>
    <row r="301" spans="1:10" x14ac:dyDescent="0.25">
      <c r="A301" s="10"/>
      <c r="B301" s="11"/>
      <c r="C301" s="11"/>
      <c r="D301" s="11"/>
      <c r="E301" s="12"/>
      <c r="F301" s="12"/>
      <c r="G301" s="12"/>
      <c r="H301" s="12"/>
      <c r="I301" s="13">
        <f>IF(E301="","",E301-F301-G301-H301)</f>
      </c>
      <c r="J301" s="14">
        <f>IF(A301="","",IF(A301&gt;=DATE(YEAR(A301),4,6),YEAR(A301)&amp;"-"&amp;RIGHT(YEAR(A301)+1,2),YEAR(A301)-1&amp;"-"&amp;RIGHT(YEAR(A301),2)))</f>
      </c>
    </row>
    <row r="302" spans="1:10" x14ac:dyDescent="0.25">
      <c r="A302" s="10"/>
      <c r="B302" s="11"/>
      <c r="C302" s="11"/>
      <c r="D302" s="11"/>
      <c r="E302" s="12"/>
      <c r="F302" s="12"/>
      <c r="G302" s="12"/>
      <c r="H302" s="12"/>
      <c r="I302" s="13">
        <f>IF(E302="","",E302-F302-G302-H302)</f>
      </c>
      <c r="J302" s="14">
        <f>IF(A302="","",IF(A302&gt;=DATE(YEAR(A302),4,6),YEAR(A302)&amp;"-"&amp;RIGHT(YEAR(A302)+1,2),YEAR(A302)-1&amp;"-"&amp;RIGHT(YEAR(A302),2)))</f>
      </c>
    </row>
    <row r="303" spans="1:10" x14ac:dyDescent="0.25">
      <c r="A303" s="10"/>
      <c r="B303" s="11"/>
      <c r="C303" s="11"/>
      <c r="D303" s="11"/>
      <c r="E303" s="12"/>
      <c r="F303" s="12"/>
      <c r="G303" s="12"/>
      <c r="H303" s="12"/>
      <c r="I303" s="13">
        <f>IF(E303="","",E303-F303-G303-H303)</f>
      </c>
      <c r="J303" s="14">
        <f>IF(A303="","",IF(A303&gt;=DATE(YEAR(A303),4,6),YEAR(A303)&amp;"-"&amp;RIGHT(YEAR(A303)+1,2),YEAR(A303)-1&amp;"-"&amp;RIGHT(YEAR(A303),2)))</f>
      </c>
    </row>
    <row r="304" spans="1:10" x14ac:dyDescent="0.25">
      <c r="A304" s="10"/>
      <c r="B304" s="11"/>
      <c r="C304" s="11"/>
      <c r="D304" s="11"/>
      <c r="E304" s="12"/>
      <c r="F304" s="12"/>
      <c r="G304" s="12"/>
      <c r="H304" s="12"/>
      <c r="I304" s="13">
        <f>IF(E304="","",E304-F304-G304-H304)</f>
      </c>
      <c r="J304" s="14">
        <f>IF(A304="","",IF(A304&gt;=DATE(YEAR(A304),4,6),YEAR(A304)&amp;"-"&amp;RIGHT(YEAR(A304)+1,2),YEAR(A304)-1&amp;"-"&amp;RIGHT(YEAR(A304),2)))</f>
      </c>
    </row>
    <row r="305" spans="1:10" x14ac:dyDescent="0.25">
      <c r="A305" s="10"/>
      <c r="B305" s="11"/>
      <c r="C305" s="11"/>
      <c r="D305" s="11"/>
      <c r="E305" s="12"/>
      <c r="F305" s="12"/>
      <c r="G305" s="12"/>
      <c r="H305" s="12"/>
      <c r="I305" s="13">
        <f>IF(E305="","",E305-F305-G305-H305)</f>
      </c>
      <c r="J305" s="14">
        <f>IF(A305="","",IF(A305&gt;=DATE(YEAR(A305),4,6),YEAR(A305)&amp;"-"&amp;RIGHT(YEAR(A305)+1,2),YEAR(A305)-1&amp;"-"&amp;RIGHT(YEAR(A305),2)))</f>
      </c>
    </row>
    <row r="306" spans="1:10" x14ac:dyDescent="0.25">
      <c r="A306" s="10"/>
      <c r="B306" s="11"/>
      <c r="C306" s="11"/>
      <c r="D306" s="11"/>
      <c r="E306" s="12"/>
      <c r="F306" s="12"/>
      <c r="G306" s="12"/>
      <c r="H306" s="12"/>
      <c r="I306" s="13">
        <f>IF(E306="","",E306-F306-G306-H306)</f>
      </c>
      <c r="J306" s="14">
        <f>IF(A306="","",IF(A306&gt;=DATE(YEAR(A306),4,6),YEAR(A306)&amp;"-"&amp;RIGHT(YEAR(A306)+1,2),YEAR(A306)-1&amp;"-"&amp;RIGHT(YEAR(A306),2)))</f>
      </c>
    </row>
    <row r="307" spans="1:10" x14ac:dyDescent="0.25">
      <c r="A307" s="10"/>
      <c r="B307" s="11"/>
      <c r="C307" s="11"/>
      <c r="D307" s="11"/>
      <c r="E307" s="12"/>
      <c r="F307" s="12"/>
      <c r="G307" s="12"/>
      <c r="H307" s="12"/>
      <c r="I307" s="13">
        <f>IF(E307="","",E307-F307-G307-H307)</f>
      </c>
      <c r="J307" s="14">
        <f>IF(A307="","",IF(A307&gt;=DATE(YEAR(A307),4,6),YEAR(A307)&amp;"-"&amp;RIGHT(YEAR(A307)+1,2),YEAR(A307)-1&amp;"-"&amp;RIGHT(YEAR(A307),2)))</f>
      </c>
    </row>
    <row r="308" spans="1:10" x14ac:dyDescent="0.25">
      <c r="A308" s="10"/>
      <c r="B308" s="11"/>
      <c r="C308" s="11"/>
      <c r="D308" s="11"/>
      <c r="E308" s="12"/>
      <c r="F308" s="12"/>
      <c r="G308" s="12"/>
      <c r="H308" s="12"/>
      <c r="I308" s="13">
        <f>IF(E308="","",E308-F308-G308-H308)</f>
      </c>
      <c r="J308" s="14">
        <f>IF(A308="","",IF(A308&gt;=DATE(YEAR(A308),4,6),YEAR(A308)&amp;"-"&amp;RIGHT(YEAR(A308)+1,2),YEAR(A308)-1&amp;"-"&amp;RIGHT(YEAR(A308),2)))</f>
      </c>
    </row>
    <row r="309" spans="1:10" x14ac:dyDescent="0.25">
      <c r="A309" s="10"/>
      <c r="B309" s="11"/>
      <c r="C309" s="11"/>
      <c r="D309" s="11"/>
      <c r="E309" s="12"/>
      <c r="F309" s="12"/>
      <c r="G309" s="12"/>
      <c r="H309" s="12"/>
      <c r="I309" s="13">
        <f>IF(E309="","",E309-F309-G309-H309)</f>
      </c>
      <c r="J309" s="14">
        <f>IF(A309="","",IF(A309&gt;=DATE(YEAR(A309),4,6),YEAR(A309)&amp;"-"&amp;RIGHT(YEAR(A309)+1,2),YEAR(A309)-1&amp;"-"&amp;RIGHT(YEAR(A309),2)))</f>
      </c>
    </row>
    <row r="310" spans="1:10" x14ac:dyDescent="0.25">
      <c r="A310" s="10"/>
      <c r="B310" s="11"/>
      <c r="C310" s="11"/>
      <c r="D310" s="11"/>
      <c r="E310" s="12"/>
      <c r="F310" s="12"/>
      <c r="G310" s="12"/>
      <c r="H310" s="12"/>
      <c r="I310" s="13">
        <f>IF(E310="","",E310-F310-G310-H310)</f>
      </c>
      <c r="J310" s="14">
        <f>IF(A310="","",IF(A310&gt;=DATE(YEAR(A310),4,6),YEAR(A310)&amp;"-"&amp;RIGHT(YEAR(A310)+1,2),YEAR(A310)-1&amp;"-"&amp;RIGHT(YEAR(A310),2)))</f>
      </c>
    </row>
    <row r="311" spans="1:10" x14ac:dyDescent="0.25">
      <c r="A311" s="10"/>
      <c r="B311" s="11"/>
      <c r="C311" s="11"/>
      <c r="D311" s="11"/>
      <c r="E311" s="12"/>
      <c r="F311" s="12"/>
      <c r="G311" s="12"/>
      <c r="H311" s="12"/>
      <c r="I311" s="13">
        <f>IF(E311="","",E311-F311-G311-H311)</f>
      </c>
      <c r="J311" s="14">
        <f>IF(A311="","",IF(A311&gt;=DATE(YEAR(A311),4,6),YEAR(A311)&amp;"-"&amp;RIGHT(YEAR(A311)+1,2),YEAR(A311)-1&amp;"-"&amp;RIGHT(YEAR(A311),2)))</f>
      </c>
    </row>
    <row r="312" spans="1:10" x14ac:dyDescent="0.25">
      <c r="A312" s="10"/>
      <c r="B312" s="11"/>
      <c r="C312" s="11"/>
      <c r="D312" s="11"/>
      <c r="E312" s="12"/>
      <c r="F312" s="12"/>
      <c r="G312" s="12"/>
      <c r="H312" s="12"/>
      <c r="I312" s="13">
        <f>IF(E312="","",E312-F312-G312-H312)</f>
      </c>
      <c r="J312" s="14">
        <f>IF(A312="","",IF(A312&gt;=DATE(YEAR(A312),4,6),YEAR(A312)&amp;"-"&amp;RIGHT(YEAR(A312)+1,2),YEAR(A312)-1&amp;"-"&amp;RIGHT(YEAR(A312),2)))</f>
      </c>
    </row>
    <row r="313" spans="1:10" x14ac:dyDescent="0.25">
      <c r="A313" s="10"/>
      <c r="B313" s="11"/>
      <c r="C313" s="11"/>
      <c r="D313" s="11"/>
      <c r="E313" s="12"/>
      <c r="F313" s="12"/>
      <c r="G313" s="12"/>
      <c r="H313" s="12"/>
      <c r="I313" s="13">
        <f>IF(E313="","",E313-F313-G313-H313)</f>
      </c>
      <c r="J313" s="14">
        <f>IF(A313="","",IF(A313&gt;=DATE(YEAR(A313),4,6),YEAR(A313)&amp;"-"&amp;RIGHT(YEAR(A313)+1,2),YEAR(A313)-1&amp;"-"&amp;RIGHT(YEAR(A313),2)))</f>
      </c>
    </row>
    <row r="314" spans="1:10" x14ac:dyDescent="0.25">
      <c r="A314" s="10"/>
      <c r="B314" s="11"/>
      <c r="C314" s="11"/>
      <c r="D314" s="11"/>
      <c r="E314" s="12"/>
      <c r="F314" s="12"/>
      <c r="G314" s="12"/>
      <c r="H314" s="12"/>
      <c r="I314" s="13">
        <f>IF(E314="","",E314-F314-G314-H314)</f>
      </c>
      <c r="J314" s="14">
        <f>IF(A314="","",IF(A314&gt;=DATE(YEAR(A314),4,6),YEAR(A314)&amp;"-"&amp;RIGHT(YEAR(A314)+1,2),YEAR(A314)-1&amp;"-"&amp;RIGHT(YEAR(A314),2)))</f>
      </c>
    </row>
    <row r="315" spans="1:10" x14ac:dyDescent="0.25">
      <c r="A315" s="10"/>
      <c r="B315" s="11"/>
      <c r="C315" s="11"/>
      <c r="D315" s="11"/>
      <c r="E315" s="12"/>
      <c r="F315" s="12"/>
      <c r="G315" s="12"/>
      <c r="H315" s="12"/>
      <c r="I315" s="13">
        <f>IF(E315="","",E315-F315-G315-H315)</f>
      </c>
      <c r="J315" s="14">
        <f>IF(A315="","",IF(A315&gt;=DATE(YEAR(A315),4,6),YEAR(A315)&amp;"-"&amp;RIGHT(YEAR(A315)+1,2),YEAR(A315)-1&amp;"-"&amp;RIGHT(YEAR(A315),2)))</f>
      </c>
    </row>
    <row r="316" spans="1:10" x14ac:dyDescent="0.25">
      <c r="A316" s="10"/>
      <c r="B316" s="11"/>
      <c r="C316" s="11"/>
      <c r="D316" s="11"/>
      <c r="E316" s="12"/>
      <c r="F316" s="12"/>
      <c r="G316" s="12"/>
      <c r="H316" s="12"/>
      <c r="I316" s="13">
        <f>IF(E316="","",E316-F316-G316-H316)</f>
      </c>
      <c r="J316" s="14">
        <f>IF(A316="","",IF(A316&gt;=DATE(YEAR(A316),4,6),YEAR(A316)&amp;"-"&amp;RIGHT(YEAR(A316)+1,2),YEAR(A316)-1&amp;"-"&amp;RIGHT(YEAR(A316),2)))</f>
      </c>
    </row>
    <row r="317" spans="1:10" x14ac:dyDescent="0.25">
      <c r="A317" s="10"/>
      <c r="B317" s="11"/>
      <c r="C317" s="11"/>
      <c r="D317" s="11"/>
      <c r="E317" s="12"/>
      <c r="F317" s="12"/>
      <c r="G317" s="12"/>
      <c r="H317" s="12"/>
      <c r="I317" s="13">
        <f>IF(E317="","",E317-F317-G317-H317)</f>
      </c>
      <c r="J317" s="14">
        <f>IF(A317="","",IF(A317&gt;=DATE(YEAR(A317),4,6),YEAR(A317)&amp;"-"&amp;RIGHT(YEAR(A317)+1,2),YEAR(A317)-1&amp;"-"&amp;RIGHT(YEAR(A317),2)))</f>
      </c>
    </row>
    <row r="318" spans="1:10" x14ac:dyDescent="0.25">
      <c r="A318" s="10"/>
      <c r="B318" s="11"/>
      <c r="C318" s="11"/>
      <c r="D318" s="11"/>
      <c r="E318" s="12"/>
      <c r="F318" s="12"/>
      <c r="G318" s="12"/>
      <c r="H318" s="12"/>
      <c r="I318" s="13">
        <f>IF(E318="","",E318-F318-G318-H318)</f>
      </c>
      <c r="J318" s="14">
        <f>IF(A318="","",IF(A318&gt;=DATE(YEAR(A318),4,6),YEAR(A318)&amp;"-"&amp;RIGHT(YEAR(A318)+1,2),YEAR(A318)-1&amp;"-"&amp;RIGHT(YEAR(A318),2)))</f>
      </c>
    </row>
    <row r="319" spans="1:10" x14ac:dyDescent="0.25">
      <c r="A319" s="10"/>
      <c r="B319" s="11"/>
      <c r="C319" s="11"/>
      <c r="D319" s="11"/>
      <c r="E319" s="12"/>
      <c r="F319" s="12"/>
      <c r="G319" s="12"/>
      <c r="H319" s="12"/>
      <c r="I319" s="13">
        <f>IF(E319="","",E319-F319-G319-H319)</f>
      </c>
      <c r="J319" s="14">
        <f>IF(A319="","",IF(A319&gt;=DATE(YEAR(A319),4,6),YEAR(A319)&amp;"-"&amp;RIGHT(YEAR(A319)+1,2),YEAR(A319)-1&amp;"-"&amp;RIGHT(YEAR(A319),2)))</f>
      </c>
    </row>
    <row r="320" spans="1:10" x14ac:dyDescent="0.25">
      <c r="A320" s="10"/>
      <c r="B320" s="11"/>
      <c r="C320" s="11"/>
      <c r="D320" s="11"/>
      <c r="E320" s="12"/>
      <c r="F320" s="12"/>
      <c r="G320" s="12"/>
      <c r="H320" s="12"/>
      <c r="I320" s="13">
        <f>IF(E320="","",E320-F320-G320-H320)</f>
      </c>
      <c r="J320" s="14">
        <f>IF(A320="","",IF(A320&gt;=DATE(YEAR(A320),4,6),YEAR(A320)&amp;"-"&amp;RIGHT(YEAR(A320)+1,2),YEAR(A320)-1&amp;"-"&amp;RIGHT(YEAR(A320),2)))</f>
      </c>
    </row>
    <row r="321" spans="1:10" x14ac:dyDescent="0.25">
      <c r="A321" s="10"/>
      <c r="B321" s="11"/>
      <c r="C321" s="11"/>
      <c r="D321" s="11"/>
      <c r="E321" s="12"/>
      <c r="F321" s="12"/>
      <c r="G321" s="12"/>
      <c r="H321" s="12"/>
      <c r="I321" s="13">
        <f>IF(E321="","",E321-F321-G321-H321)</f>
      </c>
      <c r="J321" s="14">
        <f>IF(A321="","",IF(A321&gt;=DATE(YEAR(A321),4,6),YEAR(A321)&amp;"-"&amp;RIGHT(YEAR(A321)+1,2),YEAR(A321)-1&amp;"-"&amp;RIGHT(YEAR(A321),2)))</f>
      </c>
    </row>
    <row r="322" spans="1:10" x14ac:dyDescent="0.25">
      <c r="A322" s="10"/>
      <c r="B322" s="11"/>
      <c r="C322" s="11"/>
      <c r="D322" s="11"/>
      <c r="E322" s="12"/>
      <c r="F322" s="12"/>
      <c r="G322" s="12"/>
      <c r="H322" s="12"/>
      <c r="I322" s="13">
        <f>IF(E322="","",E322-F322-G322-H322)</f>
      </c>
      <c r="J322" s="14">
        <f>IF(A322="","",IF(A322&gt;=DATE(YEAR(A322),4,6),YEAR(A322)&amp;"-"&amp;RIGHT(YEAR(A322)+1,2),YEAR(A322)-1&amp;"-"&amp;RIGHT(YEAR(A322),2)))</f>
      </c>
    </row>
    <row r="323" spans="1:10" x14ac:dyDescent="0.25">
      <c r="A323" s="10"/>
      <c r="B323" s="11"/>
      <c r="C323" s="11"/>
      <c r="D323" s="11"/>
      <c r="E323" s="12"/>
      <c r="F323" s="12"/>
      <c r="G323" s="12"/>
      <c r="H323" s="12"/>
      <c r="I323" s="13">
        <f>IF(E323="","",E323-F323-G323-H323)</f>
      </c>
      <c r="J323" s="14">
        <f>IF(A323="","",IF(A323&gt;=DATE(YEAR(A323),4,6),YEAR(A323)&amp;"-"&amp;RIGHT(YEAR(A323)+1,2),YEAR(A323)-1&amp;"-"&amp;RIGHT(YEAR(A323),2)))</f>
      </c>
    </row>
    <row r="324" spans="1:10" x14ac:dyDescent="0.25">
      <c r="A324" s="10"/>
      <c r="B324" s="11"/>
      <c r="C324" s="11"/>
      <c r="D324" s="11"/>
      <c r="E324" s="12"/>
      <c r="F324" s="12"/>
      <c r="G324" s="12"/>
      <c r="H324" s="12"/>
      <c r="I324" s="13">
        <f>IF(E324="","",E324-F324-G324-H324)</f>
      </c>
      <c r="J324" s="14">
        <f>IF(A324="","",IF(A324&gt;=DATE(YEAR(A324),4,6),YEAR(A324)&amp;"-"&amp;RIGHT(YEAR(A324)+1,2),YEAR(A324)-1&amp;"-"&amp;RIGHT(YEAR(A324),2)))</f>
      </c>
    </row>
    <row r="325" spans="1:10" x14ac:dyDescent="0.25">
      <c r="A325" s="10"/>
      <c r="B325" s="11"/>
      <c r="C325" s="11"/>
      <c r="D325" s="11"/>
      <c r="E325" s="12"/>
      <c r="F325" s="12"/>
      <c r="G325" s="12"/>
      <c r="H325" s="12"/>
      <c r="I325" s="13">
        <f>IF(E325="","",E325-F325-G325-H325)</f>
      </c>
      <c r="J325" s="14">
        <f>IF(A325="","",IF(A325&gt;=DATE(YEAR(A325),4,6),YEAR(A325)&amp;"-"&amp;RIGHT(YEAR(A325)+1,2),YEAR(A325)-1&amp;"-"&amp;RIGHT(YEAR(A325),2)))</f>
      </c>
    </row>
    <row r="326" spans="1:10" x14ac:dyDescent="0.25">
      <c r="A326" s="10"/>
      <c r="B326" s="11"/>
      <c r="C326" s="11"/>
      <c r="D326" s="11"/>
      <c r="E326" s="12"/>
      <c r="F326" s="12"/>
      <c r="G326" s="12"/>
      <c r="H326" s="12"/>
      <c r="I326" s="13">
        <f>IF(E326="","",E326-F326-G326-H326)</f>
      </c>
      <c r="J326" s="14">
        <f>IF(A326="","",IF(A326&gt;=DATE(YEAR(A326),4,6),YEAR(A326)&amp;"-"&amp;RIGHT(YEAR(A326)+1,2),YEAR(A326)-1&amp;"-"&amp;RIGHT(YEAR(A326),2)))</f>
      </c>
    </row>
    <row r="327" spans="1:10" x14ac:dyDescent="0.25">
      <c r="A327" s="10"/>
      <c r="B327" s="11"/>
      <c r="C327" s="11"/>
      <c r="D327" s="11"/>
      <c r="E327" s="12"/>
      <c r="F327" s="12"/>
      <c r="G327" s="12"/>
      <c r="H327" s="12"/>
      <c r="I327" s="13">
        <f>IF(E327="","",E327-F327-G327-H327)</f>
      </c>
      <c r="J327" s="14">
        <f>IF(A327="","",IF(A327&gt;=DATE(YEAR(A327),4,6),YEAR(A327)&amp;"-"&amp;RIGHT(YEAR(A327)+1,2),YEAR(A327)-1&amp;"-"&amp;RIGHT(YEAR(A327),2)))</f>
      </c>
    </row>
    <row r="328" spans="1:10" x14ac:dyDescent="0.25">
      <c r="A328" s="10"/>
      <c r="B328" s="11"/>
      <c r="C328" s="11"/>
      <c r="D328" s="11"/>
      <c r="E328" s="12"/>
      <c r="F328" s="12"/>
      <c r="G328" s="12"/>
      <c r="H328" s="12"/>
      <c r="I328" s="13">
        <f>IF(E328="","",E328-F328-G328-H328)</f>
      </c>
      <c r="J328" s="14">
        <f>IF(A328="","",IF(A328&gt;=DATE(YEAR(A328),4,6),YEAR(A328)&amp;"-"&amp;RIGHT(YEAR(A328)+1,2),YEAR(A328)-1&amp;"-"&amp;RIGHT(YEAR(A328),2)))</f>
      </c>
    </row>
    <row r="329" spans="1:10" x14ac:dyDescent="0.25">
      <c r="A329" s="10"/>
      <c r="B329" s="11"/>
      <c r="C329" s="11"/>
      <c r="D329" s="11"/>
      <c r="E329" s="12"/>
      <c r="F329" s="12"/>
      <c r="G329" s="12"/>
      <c r="H329" s="12"/>
      <c r="I329" s="13">
        <f>IF(E329="","",E329-F329-G329-H329)</f>
      </c>
      <c r="J329" s="14">
        <f>IF(A329="","",IF(A329&gt;=DATE(YEAR(A329),4,6),YEAR(A329)&amp;"-"&amp;RIGHT(YEAR(A329)+1,2),YEAR(A329)-1&amp;"-"&amp;RIGHT(YEAR(A329),2)))</f>
      </c>
    </row>
    <row r="330" spans="1:10" x14ac:dyDescent="0.25">
      <c r="A330" s="10"/>
      <c r="B330" s="11"/>
      <c r="C330" s="11"/>
      <c r="D330" s="11"/>
      <c r="E330" s="12"/>
      <c r="F330" s="12"/>
      <c r="G330" s="12"/>
      <c r="H330" s="12"/>
      <c r="I330" s="13">
        <f>IF(E330="","",E330-F330-G330-H330)</f>
      </c>
      <c r="J330" s="14">
        <f>IF(A330="","",IF(A330&gt;=DATE(YEAR(A330),4,6),YEAR(A330)&amp;"-"&amp;RIGHT(YEAR(A330)+1,2),YEAR(A330)-1&amp;"-"&amp;RIGHT(YEAR(A330),2)))</f>
      </c>
    </row>
    <row r="331" spans="1:10" x14ac:dyDescent="0.25">
      <c r="A331" s="10"/>
      <c r="B331" s="11"/>
      <c r="C331" s="11"/>
      <c r="D331" s="11"/>
      <c r="E331" s="12"/>
      <c r="F331" s="12"/>
      <c r="G331" s="12"/>
      <c r="H331" s="12"/>
      <c r="I331" s="13">
        <f>IF(E331="","",E331-F331-G331-H331)</f>
      </c>
      <c r="J331" s="14">
        <f>IF(A331="","",IF(A331&gt;=DATE(YEAR(A331),4,6),YEAR(A331)&amp;"-"&amp;RIGHT(YEAR(A331)+1,2),YEAR(A331)-1&amp;"-"&amp;RIGHT(YEAR(A331),2)))</f>
      </c>
    </row>
    <row r="332" spans="1:10" x14ac:dyDescent="0.25">
      <c r="A332" s="10"/>
      <c r="B332" s="11"/>
      <c r="C332" s="11"/>
      <c r="D332" s="11"/>
      <c r="E332" s="12"/>
      <c r="F332" s="12"/>
      <c r="G332" s="12"/>
      <c r="H332" s="12"/>
      <c r="I332" s="13">
        <f>IF(E332="","",E332-F332-G332-H332)</f>
      </c>
      <c r="J332" s="14">
        <f>IF(A332="","",IF(A332&gt;=DATE(YEAR(A332),4,6),YEAR(A332)&amp;"-"&amp;RIGHT(YEAR(A332)+1,2),YEAR(A332)-1&amp;"-"&amp;RIGHT(YEAR(A332),2)))</f>
      </c>
    </row>
    <row r="333" spans="1:10" x14ac:dyDescent="0.25">
      <c r="A333" s="10"/>
      <c r="B333" s="11"/>
      <c r="C333" s="11"/>
      <c r="D333" s="11"/>
      <c r="E333" s="12"/>
      <c r="F333" s="12"/>
      <c r="G333" s="12"/>
      <c r="H333" s="12"/>
      <c r="I333" s="13">
        <f>IF(E333="","",E333-F333-G333-H333)</f>
      </c>
      <c r="J333" s="14">
        <f>IF(A333="","",IF(A333&gt;=DATE(YEAR(A333),4,6),YEAR(A333)&amp;"-"&amp;RIGHT(YEAR(A333)+1,2),YEAR(A333)-1&amp;"-"&amp;RIGHT(YEAR(A333),2)))</f>
      </c>
    </row>
    <row r="334" spans="1:10" x14ac:dyDescent="0.25">
      <c r="A334" s="10"/>
      <c r="B334" s="11"/>
      <c r="C334" s="11"/>
      <c r="D334" s="11"/>
      <c r="E334" s="12"/>
      <c r="F334" s="12"/>
      <c r="G334" s="12"/>
      <c r="H334" s="12"/>
      <c r="I334" s="13">
        <f>IF(E334="","",E334-F334-G334-H334)</f>
      </c>
      <c r="J334" s="14">
        <f>IF(A334="","",IF(A334&gt;=DATE(YEAR(A334),4,6),YEAR(A334)&amp;"-"&amp;RIGHT(YEAR(A334)+1,2),YEAR(A334)-1&amp;"-"&amp;RIGHT(YEAR(A334),2)))</f>
      </c>
    </row>
    <row r="335" spans="1:10" x14ac:dyDescent="0.25">
      <c r="A335" s="10"/>
      <c r="B335" s="11"/>
      <c r="C335" s="11"/>
      <c r="D335" s="11"/>
      <c r="E335" s="12"/>
      <c r="F335" s="12"/>
      <c r="G335" s="12"/>
      <c r="H335" s="12"/>
      <c r="I335" s="13">
        <f>IF(E335="","",E335-F335-G335-H335)</f>
      </c>
      <c r="J335" s="14">
        <f>IF(A335="","",IF(A335&gt;=DATE(YEAR(A335),4,6),YEAR(A335)&amp;"-"&amp;RIGHT(YEAR(A335)+1,2),YEAR(A335)-1&amp;"-"&amp;RIGHT(YEAR(A335),2)))</f>
      </c>
    </row>
    <row r="336" spans="1:10" x14ac:dyDescent="0.25">
      <c r="A336" s="10"/>
      <c r="B336" s="11"/>
      <c r="C336" s="11"/>
      <c r="D336" s="11"/>
      <c r="E336" s="12"/>
      <c r="F336" s="12"/>
      <c r="G336" s="12"/>
      <c r="H336" s="12"/>
      <c r="I336" s="13">
        <f>IF(E336="","",E336-F336-G336-H336)</f>
      </c>
      <c r="J336" s="14">
        <f>IF(A336="","",IF(A336&gt;=DATE(YEAR(A336),4,6),YEAR(A336)&amp;"-"&amp;RIGHT(YEAR(A336)+1,2),YEAR(A336)-1&amp;"-"&amp;RIGHT(YEAR(A336),2)))</f>
      </c>
    </row>
    <row r="337" spans="1:10" x14ac:dyDescent="0.25">
      <c r="A337" s="10"/>
      <c r="B337" s="11"/>
      <c r="C337" s="11"/>
      <c r="D337" s="11"/>
      <c r="E337" s="12"/>
      <c r="F337" s="12"/>
      <c r="G337" s="12"/>
      <c r="H337" s="12"/>
      <c r="I337" s="13">
        <f>IF(E337="","",E337-F337-G337-H337)</f>
      </c>
      <c r="J337" s="14">
        <f>IF(A337="","",IF(A337&gt;=DATE(YEAR(A337),4,6),YEAR(A337)&amp;"-"&amp;RIGHT(YEAR(A337)+1,2),YEAR(A337)-1&amp;"-"&amp;RIGHT(YEAR(A337),2)))</f>
      </c>
    </row>
    <row r="338" spans="1:10" x14ac:dyDescent="0.25">
      <c r="A338" s="10"/>
      <c r="B338" s="11"/>
      <c r="C338" s="11"/>
      <c r="D338" s="11"/>
      <c r="E338" s="12"/>
      <c r="F338" s="12"/>
      <c r="G338" s="12"/>
      <c r="H338" s="12"/>
      <c r="I338" s="13">
        <f>IF(E338="","",E338-F338-G338-H338)</f>
      </c>
      <c r="J338" s="14">
        <f>IF(A338="","",IF(A338&gt;=DATE(YEAR(A338),4,6),YEAR(A338)&amp;"-"&amp;RIGHT(YEAR(A338)+1,2),YEAR(A338)-1&amp;"-"&amp;RIGHT(YEAR(A338),2)))</f>
      </c>
    </row>
    <row r="339" spans="1:10" x14ac:dyDescent="0.25">
      <c r="A339" s="10"/>
      <c r="B339" s="11"/>
      <c r="C339" s="11"/>
      <c r="D339" s="11"/>
      <c r="E339" s="12"/>
      <c r="F339" s="12"/>
      <c r="G339" s="12"/>
      <c r="H339" s="12"/>
      <c r="I339" s="13">
        <f>IF(E339="","",E339-F339-G339-H339)</f>
      </c>
      <c r="J339" s="14">
        <f>IF(A339="","",IF(A339&gt;=DATE(YEAR(A339),4,6),YEAR(A339)&amp;"-"&amp;RIGHT(YEAR(A339)+1,2),YEAR(A339)-1&amp;"-"&amp;RIGHT(YEAR(A339),2)))</f>
      </c>
    </row>
    <row r="340" spans="1:10" x14ac:dyDescent="0.25">
      <c r="A340" s="10"/>
      <c r="B340" s="11"/>
      <c r="C340" s="11"/>
      <c r="D340" s="11"/>
      <c r="E340" s="12"/>
      <c r="F340" s="12"/>
      <c r="G340" s="12"/>
      <c r="H340" s="12"/>
      <c r="I340" s="13">
        <f>IF(E340="","",E340-F340-G340-H340)</f>
      </c>
      <c r="J340" s="14">
        <f>IF(A340="","",IF(A340&gt;=DATE(YEAR(A340),4,6),YEAR(A340)&amp;"-"&amp;RIGHT(YEAR(A340)+1,2),YEAR(A340)-1&amp;"-"&amp;RIGHT(YEAR(A340),2)))</f>
      </c>
    </row>
    <row r="341" spans="1:10" x14ac:dyDescent="0.25">
      <c r="A341" s="10"/>
      <c r="B341" s="11"/>
      <c r="C341" s="11"/>
      <c r="D341" s="11"/>
      <c r="E341" s="12"/>
      <c r="F341" s="12"/>
      <c r="G341" s="12"/>
      <c r="H341" s="12"/>
      <c r="I341" s="13">
        <f>IF(E341="","",E341-F341-G341-H341)</f>
      </c>
      <c r="J341" s="14">
        <f>IF(A341="","",IF(A341&gt;=DATE(YEAR(A341),4,6),YEAR(A341)&amp;"-"&amp;RIGHT(YEAR(A341)+1,2),YEAR(A341)-1&amp;"-"&amp;RIGHT(YEAR(A341),2)))</f>
      </c>
    </row>
    <row r="342" spans="1:10" x14ac:dyDescent="0.25">
      <c r="A342" s="10"/>
      <c r="B342" s="11"/>
      <c r="C342" s="11"/>
      <c r="D342" s="11"/>
      <c r="E342" s="12"/>
      <c r="F342" s="12"/>
      <c r="G342" s="12"/>
      <c r="H342" s="12"/>
      <c r="I342" s="13">
        <f>IF(E342="","",E342-F342-G342-H342)</f>
      </c>
      <c r="J342" s="14">
        <f>IF(A342="","",IF(A342&gt;=DATE(YEAR(A342),4,6),YEAR(A342)&amp;"-"&amp;RIGHT(YEAR(A342)+1,2),YEAR(A342)-1&amp;"-"&amp;RIGHT(YEAR(A342),2)))</f>
      </c>
    </row>
    <row r="343" spans="1:10" x14ac:dyDescent="0.25">
      <c r="A343" s="10"/>
      <c r="B343" s="11"/>
      <c r="C343" s="11"/>
      <c r="D343" s="11"/>
      <c r="E343" s="12"/>
      <c r="F343" s="12"/>
      <c r="G343" s="12"/>
      <c r="H343" s="12"/>
      <c r="I343" s="13">
        <f>IF(E343="","",E343-F343-G343-H343)</f>
      </c>
      <c r="J343" s="14">
        <f>IF(A343="","",IF(A343&gt;=DATE(YEAR(A343),4,6),YEAR(A343)&amp;"-"&amp;RIGHT(YEAR(A343)+1,2),YEAR(A343)-1&amp;"-"&amp;RIGHT(YEAR(A343),2)))</f>
      </c>
    </row>
    <row r="344" spans="1:10" x14ac:dyDescent="0.25">
      <c r="A344" s="10"/>
      <c r="B344" s="11"/>
      <c r="C344" s="11"/>
      <c r="D344" s="11"/>
      <c r="E344" s="12"/>
      <c r="F344" s="12"/>
      <c r="G344" s="12"/>
      <c r="H344" s="12"/>
      <c r="I344" s="13">
        <f>IF(E344="","",E344-F344-G344-H344)</f>
      </c>
      <c r="J344" s="14">
        <f>IF(A344="","",IF(A344&gt;=DATE(YEAR(A344),4,6),YEAR(A344)&amp;"-"&amp;RIGHT(YEAR(A344)+1,2),YEAR(A344)-1&amp;"-"&amp;RIGHT(YEAR(A344),2)))</f>
      </c>
    </row>
    <row r="345" spans="1:10" x14ac:dyDescent="0.25">
      <c r="A345" s="10"/>
      <c r="B345" s="11"/>
      <c r="C345" s="11"/>
      <c r="D345" s="11"/>
      <c r="E345" s="12"/>
      <c r="F345" s="12"/>
      <c r="G345" s="12"/>
      <c r="H345" s="12"/>
      <c r="I345" s="13">
        <f>IF(E345="","",E345-F345-G345-H345)</f>
      </c>
      <c r="J345" s="14">
        <f>IF(A345="","",IF(A345&gt;=DATE(YEAR(A345),4,6),YEAR(A345)&amp;"-"&amp;RIGHT(YEAR(A345)+1,2),YEAR(A345)-1&amp;"-"&amp;RIGHT(YEAR(A345),2)))</f>
      </c>
    </row>
    <row r="346" spans="1:10" x14ac:dyDescent="0.25">
      <c r="A346" s="10"/>
      <c r="B346" s="11"/>
      <c r="C346" s="11"/>
      <c r="D346" s="11"/>
      <c r="E346" s="12"/>
      <c r="F346" s="12"/>
      <c r="G346" s="12"/>
      <c r="H346" s="12"/>
      <c r="I346" s="13">
        <f>IF(E346="","",E346-F346-G346-H346)</f>
      </c>
      <c r="J346" s="14">
        <f>IF(A346="","",IF(A346&gt;=DATE(YEAR(A346),4,6),YEAR(A346)&amp;"-"&amp;RIGHT(YEAR(A346)+1,2),YEAR(A346)-1&amp;"-"&amp;RIGHT(YEAR(A346),2)))</f>
      </c>
    </row>
    <row r="347" spans="1:10" x14ac:dyDescent="0.25">
      <c r="A347" s="10"/>
      <c r="B347" s="11"/>
      <c r="C347" s="11"/>
      <c r="D347" s="11"/>
      <c r="E347" s="12"/>
      <c r="F347" s="12"/>
      <c r="G347" s="12"/>
      <c r="H347" s="12"/>
      <c r="I347" s="13">
        <f>IF(E347="","",E347-F347-G347-H347)</f>
      </c>
      <c r="J347" s="14">
        <f>IF(A347="","",IF(A347&gt;=DATE(YEAR(A347),4,6),YEAR(A347)&amp;"-"&amp;RIGHT(YEAR(A347)+1,2),YEAR(A347)-1&amp;"-"&amp;RIGHT(YEAR(A347),2)))</f>
      </c>
    </row>
    <row r="348" spans="1:10" x14ac:dyDescent="0.25">
      <c r="A348" s="10"/>
      <c r="B348" s="11"/>
      <c r="C348" s="11"/>
      <c r="D348" s="11"/>
      <c r="E348" s="12"/>
      <c r="F348" s="12"/>
      <c r="G348" s="12"/>
      <c r="H348" s="12"/>
      <c r="I348" s="13">
        <f>IF(E348="","",E348-F348-G348-H348)</f>
      </c>
      <c r="J348" s="14">
        <f>IF(A348="","",IF(A348&gt;=DATE(YEAR(A348),4,6),YEAR(A348)&amp;"-"&amp;RIGHT(YEAR(A348)+1,2),YEAR(A348)-1&amp;"-"&amp;RIGHT(YEAR(A348),2)))</f>
      </c>
    </row>
    <row r="349" spans="1:10" x14ac:dyDescent="0.25">
      <c r="A349" s="10"/>
      <c r="B349" s="11"/>
      <c r="C349" s="11"/>
      <c r="D349" s="11"/>
      <c r="E349" s="12"/>
      <c r="F349" s="12"/>
      <c r="G349" s="12"/>
      <c r="H349" s="12"/>
      <c r="I349" s="13">
        <f>IF(E349="","",E349-F349-G349-H349)</f>
      </c>
      <c r="J349" s="14">
        <f>IF(A349="","",IF(A349&gt;=DATE(YEAR(A349),4,6),YEAR(A349)&amp;"-"&amp;RIGHT(YEAR(A349)+1,2),YEAR(A349)-1&amp;"-"&amp;RIGHT(YEAR(A349),2)))</f>
      </c>
    </row>
    <row r="350" spans="1:10" x14ac:dyDescent="0.25">
      <c r="A350" s="10"/>
      <c r="B350" s="11"/>
      <c r="C350" s="11"/>
      <c r="D350" s="11"/>
      <c r="E350" s="12"/>
      <c r="F350" s="12"/>
      <c r="G350" s="12"/>
      <c r="H350" s="12"/>
      <c r="I350" s="13">
        <f>IF(E350="","",E350-F350-G350-H350)</f>
      </c>
      <c r="J350" s="14">
        <f>IF(A350="","",IF(A350&gt;=DATE(YEAR(A350),4,6),YEAR(A350)&amp;"-"&amp;RIGHT(YEAR(A350)+1,2),YEAR(A350)-1&amp;"-"&amp;RIGHT(YEAR(A350),2)))</f>
      </c>
    </row>
    <row r="351" spans="1:10" x14ac:dyDescent="0.25">
      <c r="A351" s="10"/>
      <c r="B351" s="11"/>
      <c r="C351" s="11"/>
      <c r="D351" s="11"/>
      <c r="E351" s="12"/>
      <c r="F351" s="12"/>
      <c r="G351" s="12"/>
      <c r="H351" s="12"/>
      <c r="I351" s="13">
        <f>IF(E351="","",E351-F351-G351-H351)</f>
      </c>
      <c r="J351" s="14">
        <f>IF(A351="","",IF(A351&gt;=DATE(YEAR(A351),4,6),YEAR(A351)&amp;"-"&amp;RIGHT(YEAR(A351)+1,2),YEAR(A351)-1&amp;"-"&amp;RIGHT(YEAR(A351),2)))</f>
      </c>
    </row>
    <row r="352" spans="1:10" x14ac:dyDescent="0.25">
      <c r="A352" s="10"/>
      <c r="B352" s="11"/>
      <c r="C352" s="11"/>
      <c r="D352" s="11"/>
      <c r="E352" s="12"/>
      <c r="F352" s="12"/>
      <c r="G352" s="12"/>
      <c r="H352" s="12"/>
      <c r="I352" s="13">
        <f>IF(E352="","",E352-F352-G352-H352)</f>
      </c>
      <c r="J352" s="14">
        <f>IF(A352="","",IF(A352&gt;=DATE(YEAR(A352),4,6),YEAR(A352)&amp;"-"&amp;RIGHT(YEAR(A352)+1,2),YEAR(A352)-1&amp;"-"&amp;RIGHT(YEAR(A352),2)))</f>
      </c>
    </row>
    <row r="353" spans="1:10" x14ac:dyDescent="0.25">
      <c r="A353" s="10"/>
      <c r="B353" s="11"/>
      <c r="C353" s="11"/>
      <c r="D353" s="11"/>
      <c r="E353" s="12"/>
      <c r="F353" s="12"/>
      <c r="G353" s="12"/>
      <c r="H353" s="12"/>
      <c r="I353" s="13">
        <f>IF(E353="","",E353-F353-G353-H353)</f>
      </c>
      <c r="J353" s="14">
        <f>IF(A353="","",IF(A353&gt;=DATE(YEAR(A353),4,6),YEAR(A353)&amp;"-"&amp;RIGHT(YEAR(A353)+1,2),YEAR(A353)-1&amp;"-"&amp;RIGHT(YEAR(A353),2)))</f>
      </c>
    </row>
    <row r="354" spans="1:10" x14ac:dyDescent="0.25">
      <c r="A354" s="10"/>
      <c r="B354" s="11"/>
      <c r="C354" s="11"/>
      <c r="D354" s="11"/>
      <c r="E354" s="12"/>
      <c r="F354" s="12"/>
      <c r="G354" s="12"/>
      <c r="H354" s="12"/>
      <c r="I354" s="13">
        <f>IF(E354="","",E354-F354-G354-H354)</f>
      </c>
      <c r="J354" s="14">
        <f>IF(A354="","",IF(A354&gt;=DATE(YEAR(A354),4,6),YEAR(A354)&amp;"-"&amp;RIGHT(YEAR(A354)+1,2),YEAR(A354)-1&amp;"-"&amp;RIGHT(YEAR(A354),2)))</f>
      </c>
    </row>
    <row r="355" spans="1:10" x14ac:dyDescent="0.25">
      <c r="A355" s="10"/>
      <c r="B355" s="11"/>
      <c r="C355" s="11"/>
      <c r="D355" s="11"/>
      <c r="E355" s="12"/>
      <c r="F355" s="12"/>
      <c r="G355" s="12"/>
      <c r="H355" s="12"/>
      <c r="I355" s="13">
        <f>IF(E355="","",E355-F355-G355-H355)</f>
      </c>
      <c r="J355" s="14">
        <f>IF(A355="","",IF(A355&gt;=DATE(YEAR(A355),4,6),YEAR(A355)&amp;"-"&amp;RIGHT(YEAR(A355)+1,2),YEAR(A355)-1&amp;"-"&amp;RIGHT(YEAR(A355),2)))</f>
      </c>
    </row>
    <row r="356" spans="1:10" x14ac:dyDescent="0.25">
      <c r="A356" s="10"/>
      <c r="B356" s="11"/>
      <c r="C356" s="11"/>
      <c r="D356" s="11"/>
      <c r="E356" s="12"/>
      <c r="F356" s="12"/>
      <c r="G356" s="12"/>
      <c r="H356" s="12"/>
      <c r="I356" s="13">
        <f>IF(E356="","",E356-F356-G356-H356)</f>
      </c>
      <c r="J356" s="14">
        <f>IF(A356="","",IF(A356&gt;=DATE(YEAR(A356),4,6),YEAR(A356)&amp;"-"&amp;RIGHT(YEAR(A356)+1,2),YEAR(A356)-1&amp;"-"&amp;RIGHT(YEAR(A356),2)))</f>
      </c>
    </row>
    <row r="357" spans="1:10" x14ac:dyDescent="0.25">
      <c r="A357" s="10"/>
      <c r="B357" s="11"/>
      <c r="C357" s="11"/>
      <c r="D357" s="11"/>
      <c r="E357" s="12"/>
      <c r="F357" s="12"/>
      <c r="G357" s="12"/>
      <c r="H357" s="12"/>
      <c r="I357" s="13">
        <f>IF(E357="","",E357-F357-G357-H357)</f>
      </c>
      <c r="J357" s="14">
        <f>IF(A357="","",IF(A357&gt;=DATE(YEAR(A357),4,6),YEAR(A357)&amp;"-"&amp;RIGHT(YEAR(A357)+1,2),YEAR(A357)-1&amp;"-"&amp;RIGHT(YEAR(A357),2)))</f>
      </c>
    </row>
    <row r="358" spans="1:10" x14ac:dyDescent="0.25">
      <c r="A358" s="10"/>
      <c r="B358" s="11"/>
      <c r="C358" s="11"/>
      <c r="D358" s="11"/>
      <c r="E358" s="12"/>
      <c r="F358" s="12"/>
      <c r="G358" s="12"/>
      <c r="H358" s="12"/>
      <c r="I358" s="13">
        <f>IF(E358="","",E358-F358-G358-H358)</f>
      </c>
      <c r="J358" s="14">
        <f>IF(A358="","",IF(A358&gt;=DATE(YEAR(A358),4,6),YEAR(A358)&amp;"-"&amp;RIGHT(YEAR(A358)+1,2),YEAR(A358)-1&amp;"-"&amp;RIGHT(YEAR(A358),2)))</f>
      </c>
    </row>
    <row r="359" spans="1:10" x14ac:dyDescent="0.25">
      <c r="A359" s="10"/>
      <c r="B359" s="11"/>
      <c r="C359" s="11"/>
      <c r="D359" s="11"/>
      <c r="E359" s="12"/>
      <c r="F359" s="12"/>
      <c r="G359" s="12"/>
      <c r="H359" s="12"/>
      <c r="I359" s="13">
        <f>IF(E359="","",E359-F359-G359-H359)</f>
      </c>
      <c r="J359" s="14">
        <f>IF(A359="","",IF(A359&gt;=DATE(YEAR(A359),4,6),YEAR(A359)&amp;"-"&amp;RIGHT(YEAR(A359)+1,2),YEAR(A359)-1&amp;"-"&amp;RIGHT(YEAR(A359),2)))</f>
      </c>
    </row>
    <row r="360" spans="1:10" x14ac:dyDescent="0.25">
      <c r="A360" s="10"/>
      <c r="B360" s="11"/>
      <c r="C360" s="11"/>
      <c r="D360" s="11"/>
      <c r="E360" s="12"/>
      <c r="F360" s="12"/>
      <c r="G360" s="12"/>
      <c r="H360" s="12"/>
      <c r="I360" s="13">
        <f>IF(E360="","",E360-F360-G360-H360)</f>
      </c>
      <c r="J360" s="14">
        <f>IF(A360="","",IF(A360&gt;=DATE(YEAR(A360),4,6),YEAR(A360)&amp;"-"&amp;RIGHT(YEAR(A360)+1,2),YEAR(A360)-1&amp;"-"&amp;RIGHT(YEAR(A360),2)))</f>
      </c>
    </row>
    <row r="361" spans="1:10" x14ac:dyDescent="0.25">
      <c r="A361" s="10"/>
      <c r="B361" s="11"/>
      <c r="C361" s="11"/>
      <c r="D361" s="11"/>
      <c r="E361" s="12"/>
      <c r="F361" s="12"/>
      <c r="G361" s="12"/>
      <c r="H361" s="12"/>
      <c r="I361" s="13">
        <f>IF(E361="","",E361-F361-G361-H361)</f>
      </c>
      <c r="J361" s="14">
        <f>IF(A361="","",IF(A361&gt;=DATE(YEAR(A361),4,6),YEAR(A361)&amp;"-"&amp;RIGHT(YEAR(A361)+1,2),YEAR(A361)-1&amp;"-"&amp;RIGHT(YEAR(A361),2)))</f>
      </c>
    </row>
    <row r="362" spans="1:10" x14ac:dyDescent="0.25">
      <c r="A362" s="10"/>
      <c r="B362" s="11"/>
      <c r="C362" s="11"/>
      <c r="D362" s="11"/>
      <c r="E362" s="12"/>
      <c r="F362" s="12"/>
      <c r="G362" s="12"/>
      <c r="H362" s="12"/>
      <c r="I362" s="13">
        <f>IF(E362="","",E362-F362-G362-H362)</f>
      </c>
      <c r="J362" s="14">
        <f>IF(A362="","",IF(A362&gt;=DATE(YEAR(A362),4,6),YEAR(A362)&amp;"-"&amp;RIGHT(YEAR(A362)+1,2),YEAR(A362)-1&amp;"-"&amp;RIGHT(YEAR(A362),2)))</f>
      </c>
    </row>
    <row r="363" spans="1:10" x14ac:dyDescent="0.25">
      <c r="A363" s="10"/>
      <c r="B363" s="11"/>
      <c r="C363" s="11"/>
      <c r="D363" s="11"/>
      <c r="E363" s="12"/>
      <c r="F363" s="12"/>
      <c r="G363" s="12"/>
      <c r="H363" s="12"/>
      <c r="I363" s="13">
        <f>IF(E363="","",E363-F363-G363-H363)</f>
      </c>
      <c r="J363" s="14">
        <f>IF(A363="","",IF(A363&gt;=DATE(YEAR(A363),4,6),YEAR(A363)&amp;"-"&amp;RIGHT(YEAR(A363)+1,2),YEAR(A363)-1&amp;"-"&amp;RIGHT(YEAR(A363),2)))</f>
      </c>
    </row>
    <row r="364" spans="1:10" x14ac:dyDescent="0.25">
      <c r="A364" s="10"/>
      <c r="B364" s="11"/>
      <c r="C364" s="11"/>
      <c r="D364" s="11"/>
      <c r="E364" s="12"/>
      <c r="F364" s="12"/>
      <c r="G364" s="12"/>
      <c r="H364" s="12"/>
      <c r="I364" s="13">
        <f>IF(E364="","",E364-F364-G364-H364)</f>
      </c>
      <c r="J364" s="14">
        <f>IF(A364="","",IF(A364&gt;=DATE(YEAR(A364),4,6),YEAR(A364)&amp;"-"&amp;RIGHT(YEAR(A364)+1,2),YEAR(A364)-1&amp;"-"&amp;RIGHT(YEAR(A364),2)))</f>
      </c>
    </row>
    <row r="365" spans="1:10" x14ac:dyDescent="0.25">
      <c r="A365" s="10"/>
      <c r="B365" s="11"/>
      <c r="C365" s="11"/>
      <c r="D365" s="11"/>
      <c r="E365" s="12"/>
      <c r="F365" s="12"/>
      <c r="G365" s="12"/>
      <c r="H365" s="12"/>
      <c r="I365" s="13">
        <f>IF(E365="","",E365-F365-G365-H365)</f>
      </c>
      <c r="J365" s="14">
        <f>IF(A365="","",IF(A365&gt;=DATE(YEAR(A365),4,6),YEAR(A365)&amp;"-"&amp;RIGHT(YEAR(A365)+1,2),YEAR(A365)-1&amp;"-"&amp;RIGHT(YEAR(A365),2)))</f>
      </c>
    </row>
    <row r="366" spans="1:10" x14ac:dyDescent="0.25">
      <c r="A366" s="10"/>
      <c r="B366" s="11"/>
      <c r="C366" s="11"/>
      <c r="D366" s="11"/>
      <c r="E366" s="12"/>
      <c r="F366" s="12"/>
      <c r="G366" s="12"/>
      <c r="H366" s="12"/>
      <c r="I366" s="13">
        <f>IF(E366="","",E366-F366-G366-H366)</f>
      </c>
      <c r="J366" s="14">
        <f>IF(A366="","",IF(A366&gt;=DATE(YEAR(A366),4,6),YEAR(A366)&amp;"-"&amp;RIGHT(YEAR(A366)+1,2),YEAR(A366)-1&amp;"-"&amp;RIGHT(YEAR(A366),2)))</f>
      </c>
    </row>
    <row r="367" spans="1:10" x14ac:dyDescent="0.25">
      <c r="A367" s="10"/>
      <c r="B367" s="11"/>
      <c r="C367" s="11"/>
      <c r="D367" s="11"/>
      <c r="E367" s="12"/>
      <c r="F367" s="12"/>
      <c r="G367" s="12"/>
      <c r="H367" s="12"/>
      <c r="I367" s="13">
        <f>IF(E367="","",E367-F367-G367-H367)</f>
      </c>
      <c r="J367" s="14">
        <f>IF(A367="","",IF(A367&gt;=DATE(YEAR(A367),4,6),YEAR(A367)&amp;"-"&amp;RIGHT(YEAR(A367)+1,2),YEAR(A367)-1&amp;"-"&amp;RIGHT(YEAR(A367),2)))</f>
      </c>
    </row>
    <row r="368" spans="1:10" x14ac:dyDescent="0.25">
      <c r="A368" s="10"/>
      <c r="B368" s="11"/>
      <c r="C368" s="11"/>
      <c r="D368" s="11"/>
      <c r="E368" s="12"/>
      <c r="F368" s="12"/>
      <c r="G368" s="12"/>
      <c r="H368" s="12"/>
      <c r="I368" s="13">
        <f>IF(E368="","",E368-F368-G368-H368)</f>
      </c>
      <c r="J368" s="14">
        <f>IF(A368="","",IF(A368&gt;=DATE(YEAR(A368),4,6),YEAR(A368)&amp;"-"&amp;RIGHT(YEAR(A368)+1,2),YEAR(A368)-1&amp;"-"&amp;RIGHT(YEAR(A368),2)))</f>
      </c>
    </row>
    <row r="369" spans="1:10" x14ac:dyDescent="0.25">
      <c r="A369" s="10"/>
      <c r="B369" s="11"/>
      <c r="C369" s="11"/>
      <c r="D369" s="11"/>
      <c r="E369" s="12"/>
      <c r="F369" s="12"/>
      <c r="G369" s="12"/>
      <c r="H369" s="12"/>
      <c r="I369" s="13">
        <f>IF(E369="","",E369-F369-G369-H369)</f>
      </c>
      <c r="J369" s="14">
        <f>IF(A369="","",IF(A369&gt;=DATE(YEAR(A369),4,6),YEAR(A369)&amp;"-"&amp;RIGHT(YEAR(A369)+1,2),YEAR(A369)-1&amp;"-"&amp;RIGHT(YEAR(A369),2)))</f>
      </c>
    </row>
    <row r="370" spans="1:10" x14ac:dyDescent="0.25">
      <c r="A370" s="10"/>
      <c r="B370" s="11"/>
      <c r="C370" s="11"/>
      <c r="D370" s="11"/>
      <c r="E370" s="12"/>
      <c r="F370" s="12"/>
      <c r="G370" s="12"/>
      <c r="H370" s="12"/>
      <c r="I370" s="13">
        <f>IF(E370="","",E370-F370-G370-H370)</f>
      </c>
      <c r="J370" s="14">
        <f>IF(A370="","",IF(A370&gt;=DATE(YEAR(A370),4,6),YEAR(A370)&amp;"-"&amp;RIGHT(YEAR(A370)+1,2),YEAR(A370)-1&amp;"-"&amp;RIGHT(YEAR(A370),2)))</f>
      </c>
    </row>
    <row r="371" spans="1:10" x14ac:dyDescent="0.25">
      <c r="A371" s="10"/>
      <c r="B371" s="11"/>
      <c r="C371" s="11"/>
      <c r="D371" s="11"/>
      <c r="E371" s="12"/>
      <c r="F371" s="12"/>
      <c r="G371" s="12"/>
      <c r="H371" s="12"/>
      <c r="I371" s="13">
        <f>IF(E371="","",E371-F371-G371-H371)</f>
      </c>
      <c r="J371" s="14">
        <f>IF(A371="","",IF(A371&gt;=DATE(YEAR(A371),4,6),YEAR(A371)&amp;"-"&amp;RIGHT(YEAR(A371)+1,2),YEAR(A371)-1&amp;"-"&amp;RIGHT(YEAR(A371),2)))</f>
      </c>
    </row>
    <row r="372" spans="1:10" x14ac:dyDescent="0.25">
      <c r="A372" s="10"/>
      <c r="B372" s="11"/>
      <c r="C372" s="11"/>
      <c r="D372" s="11"/>
      <c r="E372" s="12"/>
      <c r="F372" s="12"/>
      <c r="G372" s="12"/>
      <c r="H372" s="12"/>
      <c r="I372" s="13">
        <f>IF(E372="","",E372-F372-G372-H372)</f>
      </c>
      <c r="J372" s="14">
        <f>IF(A372="","",IF(A372&gt;=DATE(YEAR(A372),4,6),YEAR(A372)&amp;"-"&amp;RIGHT(YEAR(A372)+1,2),YEAR(A372)-1&amp;"-"&amp;RIGHT(YEAR(A372),2)))</f>
      </c>
    </row>
    <row r="373" spans="1:10" x14ac:dyDescent="0.25">
      <c r="A373" s="10"/>
      <c r="B373" s="11"/>
      <c r="C373" s="11"/>
      <c r="D373" s="11"/>
      <c r="E373" s="12"/>
      <c r="F373" s="12"/>
      <c r="G373" s="12"/>
      <c r="H373" s="12"/>
      <c r="I373" s="13">
        <f>IF(E373="","",E373-F373-G373-H373)</f>
      </c>
      <c r="J373" s="14">
        <f>IF(A373="","",IF(A373&gt;=DATE(YEAR(A373),4,6),YEAR(A373)&amp;"-"&amp;RIGHT(YEAR(A373)+1,2),YEAR(A373)-1&amp;"-"&amp;RIGHT(YEAR(A373),2)))</f>
      </c>
    </row>
    <row r="374" spans="1:10" x14ac:dyDescent="0.25">
      <c r="A374" s="10"/>
      <c r="B374" s="11"/>
      <c r="C374" s="11"/>
      <c r="D374" s="11"/>
      <c r="E374" s="12"/>
      <c r="F374" s="12"/>
      <c r="G374" s="12"/>
      <c r="H374" s="12"/>
      <c r="I374" s="13">
        <f>IF(E374="","",E374-F374-G374-H374)</f>
      </c>
      <c r="J374" s="14">
        <f>IF(A374="","",IF(A374&gt;=DATE(YEAR(A374),4,6),YEAR(A374)&amp;"-"&amp;RIGHT(YEAR(A374)+1,2),YEAR(A374)-1&amp;"-"&amp;RIGHT(YEAR(A374),2)))</f>
      </c>
    </row>
    <row r="375" spans="1:10" x14ac:dyDescent="0.25">
      <c r="A375" s="10"/>
      <c r="B375" s="11"/>
      <c r="C375" s="11"/>
      <c r="D375" s="11"/>
      <c r="E375" s="12"/>
      <c r="F375" s="12"/>
      <c r="G375" s="12"/>
      <c r="H375" s="12"/>
      <c r="I375" s="13">
        <f>IF(E375="","",E375-F375-G375-H375)</f>
      </c>
      <c r="J375" s="14">
        <f>IF(A375="","",IF(A375&gt;=DATE(YEAR(A375),4,6),YEAR(A375)&amp;"-"&amp;RIGHT(YEAR(A375)+1,2),YEAR(A375)-1&amp;"-"&amp;RIGHT(YEAR(A375),2)))</f>
      </c>
    </row>
    <row r="376" spans="1:10" x14ac:dyDescent="0.25">
      <c r="A376" s="10"/>
      <c r="B376" s="11"/>
      <c r="C376" s="11"/>
      <c r="D376" s="11"/>
      <c r="E376" s="12"/>
      <c r="F376" s="12"/>
      <c r="G376" s="12"/>
      <c r="H376" s="12"/>
      <c r="I376" s="13">
        <f>IF(E376="","",E376-F376-G376-H376)</f>
      </c>
      <c r="J376" s="14">
        <f>IF(A376="","",IF(A376&gt;=DATE(YEAR(A376),4,6),YEAR(A376)&amp;"-"&amp;RIGHT(YEAR(A376)+1,2),YEAR(A376)-1&amp;"-"&amp;RIGHT(YEAR(A376),2)))</f>
      </c>
    </row>
    <row r="377" spans="1:10" x14ac:dyDescent="0.25">
      <c r="A377" s="10"/>
      <c r="B377" s="11"/>
      <c r="C377" s="11"/>
      <c r="D377" s="11"/>
      <c r="E377" s="12"/>
      <c r="F377" s="12"/>
      <c r="G377" s="12"/>
      <c r="H377" s="12"/>
      <c r="I377" s="13">
        <f>IF(E377="","",E377-F377-G377-H377)</f>
      </c>
      <c r="J377" s="14">
        <f>IF(A377="","",IF(A377&gt;=DATE(YEAR(A377),4,6),YEAR(A377)&amp;"-"&amp;RIGHT(YEAR(A377)+1,2),YEAR(A377)-1&amp;"-"&amp;RIGHT(YEAR(A377),2)))</f>
      </c>
    </row>
    <row r="378" spans="1:10" x14ac:dyDescent="0.25">
      <c r="A378" s="10"/>
      <c r="B378" s="11"/>
      <c r="C378" s="11"/>
      <c r="D378" s="11"/>
      <c r="E378" s="12"/>
      <c r="F378" s="12"/>
      <c r="G378" s="12"/>
      <c r="H378" s="12"/>
      <c r="I378" s="13">
        <f>IF(E378="","",E378-F378-G378-H378)</f>
      </c>
      <c r="J378" s="14">
        <f>IF(A378="","",IF(A378&gt;=DATE(YEAR(A378),4,6),YEAR(A378)&amp;"-"&amp;RIGHT(YEAR(A378)+1,2),YEAR(A378)-1&amp;"-"&amp;RIGHT(YEAR(A378),2)))</f>
      </c>
    </row>
    <row r="379" spans="1:10" x14ac:dyDescent="0.25">
      <c r="A379" s="10"/>
      <c r="B379" s="11"/>
      <c r="C379" s="11"/>
      <c r="D379" s="11"/>
      <c r="E379" s="12"/>
      <c r="F379" s="12"/>
      <c r="G379" s="12"/>
      <c r="H379" s="12"/>
      <c r="I379" s="13">
        <f>IF(E379="","",E379-F379-G379-H379)</f>
      </c>
      <c r="J379" s="14">
        <f>IF(A379="","",IF(A379&gt;=DATE(YEAR(A379),4,6),YEAR(A379)&amp;"-"&amp;RIGHT(YEAR(A379)+1,2),YEAR(A379)-1&amp;"-"&amp;RIGHT(YEAR(A379),2)))</f>
      </c>
    </row>
    <row r="380" spans="1:10" x14ac:dyDescent="0.25">
      <c r="A380" s="10"/>
      <c r="B380" s="11"/>
      <c r="C380" s="11"/>
      <c r="D380" s="11"/>
      <c r="E380" s="12"/>
      <c r="F380" s="12"/>
      <c r="G380" s="12"/>
      <c r="H380" s="12"/>
      <c r="I380" s="13">
        <f>IF(E380="","",E380-F380-G380-H380)</f>
      </c>
      <c r="J380" s="14">
        <f>IF(A380="","",IF(A380&gt;=DATE(YEAR(A380),4,6),YEAR(A380)&amp;"-"&amp;RIGHT(YEAR(A380)+1,2),YEAR(A380)-1&amp;"-"&amp;RIGHT(YEAR(A380),2)))</f>
      </c>
    </row>
    <row r="381" spans="1:10" x14ac:dyDescent="0.25">
      <c r="A381" s="10"/>
      <c r="B381" s="11"/>
      <c r="C381" s="11"/>
      <c r="D381" s="11"/>
      <c r="E381" s="12"/>
      <c r="F381" s="12"/>
      <c r="G381" s="12"/>
      <c r="H381" s="12"/>
      <c r="I381" s="13">
        <f>IF(E381="","",E381-F381-G381-H381)</f>
      </c>
      <c r="J381" s="14">
        <f>IF(A381="","",IF(A381&gt;=DATE(YEAR(A381),4,6),YEAR(A381)&amp;"-"&amp;RIGHT(YEAR(A381)+1,2),YEAR(A381)-1&amp;"-"&amp;RIGHT(YEAR(A381),2)))</f>
      </c>
    </row>
    <row r="382" spans="1:10" x14ac:dyDescent="0.25">
      <c r="A382" s="10"/>
      <c r="B382" s="11"/>
      <c r="C382" s="11"/>
      <c r="D382" s="11"/>
      <c r="E382" s="12"/>
      <c r="F382" s="12"/>
      <c r="G382" s="12"/>
      <c r="H382" s="12"/>
      <c r="I382" s="13">
        <f>IF(E382="","",E382-F382-G382-H382)</f>
      </c>
      <c r="J382" s="14">
        <f>IF(A382="","",IF(A382&gt;=DATE(YEAR(A382),4,6),YEAR(A382)&amp;"-"&amp;RIGHT(YEAR(A382)+1,2),YEAR(A382)-1&amp;"-"&amp;RIGHT(YEAR(A382),2)))</f>
      </c>
    </row>
    <row r="383" spans="1:10" x14ac:dyDescent="0.25">
      <c r="A383" s="10"/>
      <c r="B383" s="11"/>
      <c r="C383" s="11"/>
      <c r="D383" s="11"/>
      <c r="E383" s="12"/>
      <c r="F383" s="12"/>
      <c r="G383" s="12"/>
      <c r="H383" s="12"/>
      <c r="I383" s="13">
        <f>IF(E383="","",E383-F383-G383-H383)</f>
      </c>
      <c r="J383" s="14">
        <f>IF(A383="","",IF(A383&gt;=DATE(YEAR(A383),4,6),YEAR(A383)&amp;"-"&amp;RIGHT(YEAR(A383)+1,2),YEAR(A383)-1&amp;"-"&amp;RIGHT(YEAR(A383),2)))</f>
      </c>
    </row>
    <row r="384" spans="1:10" x14ac:dyDescent="0.25">
      <c r="A384" s="10"/>
      <c r="B384" s="11"/>
      <c r="C384" s="11"/>
      <c r="D384" s="11"/>
      <c r="E384" s="12"/>
      <c r="F384" s="12"/>
      <c r="G384" s="12"/>
      <c r="H384" s="12"/>
      <c r="I384" s="13">
        <f>IF(E384="","",E384-F384-G384-H384)</f>
      </c>
      <c r="J384" s="14">
        <f>IF(A384="","",IF(A384&gt;=DATE(YEAR(A384),4,6),YEAR(A384)&amp;"-"&amp;RIGHT(YEAR(A384)+1,2),YEAR(A384)-1&amp;"-"&amp;RIGHT(YEAR(A384),2)))</f>
      </c>
    </row>
    <row r="385" spans="1:10" x14ac:dyDescent="0.25">
      <c r="A385" s="10"/>
      <c r="B385" s="11"/>
      <c r="C385" s="11"/>
      <c r="D385" s="11"/>
      <c r="E385" s="12"/>
      <c r="F385" s="12"/>
      <c r="G385" s="12"/>
      <c r="H385" s="12"/>
      <c r="I385" s="13">
        <f>IF(E385="","",E385-F385-G385-H385)</f>
      </c>
      <c r="J385" s="14">
        <f>IF(A385="","",IF(A385&gt;=DATE(YEAR(A385),4,6),YEAR(A385)&amp;"-"&amp;RIGHT(YEAR(A385)+1,2),YEAR(A385)-1&amp;"-"&amp;RIGHT(YEAR(A385),2)))</f>
      </c>
    </row>
    <row r="386" spans="1:10" x14ac:dyDescent="0.25">
      <c r="A386" s="10"/>
      <c r="B386" s="11"/>
      <c r="C386" s="11"/>
      <c r="D386" s="11"/>
      <c r="E386" s="12"/>
      <c r="F386" s="12"/>
      <c r="G386" s="12"/>
      <c r="H386" s="12"/>
      <c r="I386" s="13">
        <f>IF(E386="","",E386-F386-G386-H386)</f>
      </c>
      <c r="J386" s="14">
        <f>IF(A386="","",IF(A386&gt;=DATE(YEAR(A386),4,6),YEAR(A386)&amp;"-"&amp;RIGHT(YEAR(A386)+1,2),YEAR(A386)-1&amp;"-"&amp;RIGHT(YEAR(A386),2)))</f>
      </c>
    </row>
    <row r="387" spans="1:10" x14ac:dyDescent="0.25">
      <c r="A387" s="10"/>
      <c r="B387" s="11"/>
      <c r="C387" s="11"/>
      <c r="D387" s="11"/>
      <c r="E387" s="12"/>
      <c r="F387" s="12"/>
      <c r="G387" s="12"/>
      <c r="H387" s="12"/>
      <c r="I387" s="13">
        <f>IF(E387="","",E387-F387-G387-H387)</f>
      </c>
      <c r="J387" s="14">
        <f>IF(A387="","",IF(A387&gt;=DATE(YEAR(A387),4,6),YEAR(A387)&amp;"-"&amp;RIGHT(YEAR(A387)+1,2),YEAR(A387)-1&amp;"-"&amp;RIGHT(YEAR(A387),2)))</f>
      </c>
    </row>
    <row r="388" spans="1:10" x14ac:dyDescent="0.25">
      <c r="A388" s="10"/>
      <c r="B388" s="11"/>
      <c r="C388" s="11"/>
      <c r="D388" s="11"/>
      <c r="E388" s="12"/>
      <c r="F388" s="12"/>
      <c r="G388" s="12"/>
      <c r="H388" s="12"/>
      <c r="I388" s="13">
        <f>IF(E388="","",E388-F388-G388-H388)</f>
      </c>
      <c r="J388" s="14">
        <f>IF(A388="","",IF(A388&gt;=DATE(YEAR(A388),4,6),YEAR(A388)&amp;"-"&amp;RIGHT(YEAR(A388)+1,2),YEAR(A388)-1&amp;"-"&amp;RIGHT(YEAR(A388),2)))</f>
      </c>
    </row>
    <row r="389" spans="1:10" x14ac:dyDescent="0.25">
      <c r="A389" s="10"/>
      <c r="B389" s="11"/>
      <c r="C389" s="11"/>
      <c r="D389" s="11"/>
      <c r="E389" s="12"/>
      <c r="F389" s="12"/>
      <c r="G389" s="12"/>
      <c r="H389" s="12"/>
      <c r="I389" s="13">
        <f>IF(E389="","",E389-F389-G389-H389)</f>
      </c>
      <c r="J389" s="14">
        <f>IF(A389="","",IF(A389&gt;=DATE(YEAR(A389),4,6),YEAR(A389)&amp;"-"&amp;RIGHT(YEAR(A389)+1,2),YEAR(A389)-1&amp;"-"&amp;RIGHT(YEAR(A389),2)))</f>
      </c>
    </row>
    <row r="390" spans="1:10" x14ac:dyDescent="0.25">
      <c r="A390" s="10"/>
      <c r="B390" s="11"/>
      <c r="C390" s="11"/>
      <c r="D390" s="11"/>
      <c r="E390" s="12"/>
      <c r="F390" s="12"/>
      <c r="G390" s="12"/>
      <c r="H390" s="12"/>
      <c r="I390" s="13">
        <f>IF(E390="","",E390-F390-G390-H390)</f>
      </c>
      <c r="J390" s="14">
        <f>IF(A390="","",IF(A390&gt;=DATE(YEAR(A390),4,6),YEAR(A390)&amp;"-"&amp;RIGHT(YEAR(A390)+1,2),YEAR(A390)-1&amp;"-"&amp;RIGHT(YEAR(A390),2)))</f>
      </c>
    </row>
    <row r="391" spans="1:10" x14ac:dyDescent="0.25">
      <c r="A391" s="10"/>
      <c r="B391" s="11"/>
      <c r="C391" s="11"/>
      <c r="D391" s="11"/>
      <c r="E391" s="12"/>
      <c r="F391" s="12"/>
      <c r="G391" s="12"/>
      <c r="H391" s="12"/>
      <c r="I391" s="13">
        <f>IF(E391="","",E391-F391-G391-H391)</f>
      </c>
      <c r="J391" s="14">
        <f>IF(A391="","",IF(A391&gt;=DATE(YEAR(A391),4,6),YEAR(A391)&amp;"-"&amp;RIGHT(YEAR(A391)+1,2),YEAR(A391)-1&amp;"-"&amp;RIGHT(YEAR(A391),2)))</f>
      </c>
    </row>
    <row r="392" spans="1:10" x14ac:dyDescent="0.25">
      <c r="A392" s="10"/>
      <c r="B392" s="11"/>
      <c r="C392" s="11"/>
      <c r="D392" s="11"/>
      <c r="E392" s="12"/>
      <c r="F392" s="12"/>
      <c r="G392" s="12"/>
      <c r="H392" s="12"/>
      <c r="I392" s="13">
        <f>IF(E392="","",E392-F392-G392-H392)</f>
      </c>
      <c r="J392" s="14">
        <f>IF(A392="","",IF(A392&gt;=DATE(YEAR(A392),4,6),YEAR(A392)&amp;"-"&amp;RIGHT(YEAR(A392)+1,2),YEAR(A392)-1&amp;"-"&amp;RIGHT(YEAR(A392),2)))</f>
      </c>
    </row>
    <row r="393" spans="1:10" x14ac:dyDescent="0.25">
      <c r="A393" s="10"/>
      <c r="B393" s="11"/>
      <c r="C393" s="11"/>
      <c r="D393" s="11"/>
      <c r="E393" s="12"/>
      <c r="F393" s="12"/>
      <c r="G393" s="12"/>
      <c r="H393" s="12"/>
      <c r="I393" s="13">
        <f>IF(E393="","",E393-F393-G393-H393)</f>
      </c>
      <c r="J393" s="14">
        <f>IF(A393="","",IF(A393&gt;=DATE(YEAR(A393),4,6),YEAR(A393)&amp;"-"&amp;RIGHT(YEAR(A393)+1,2),YEAR(A393)-1&amp;"-"&amp;RIGHT(YEAR(A393),2)))</f>
      </c>
    </row>
    <row r="394" spans="1:10" x14ac:dyDescent="0.25">
      <c r="A394" s="10"/>
      <c r="B394" s="11"/>
      <c r="C394" s="11"/>
      <c r="D394" s="11"/>
      <c r="E394" s="12"/>
      <c r="F394" s="12"/>
      <c r="G394" s="12"/>
      <c r="H394" s="12"/>
      <c r="I394" s="13">
        <f>IF(E394="","",E394-F394-G394-H394)</f>
      </c>
      <c r="J394" s="14">
        <f>IF(A394="","",IF(A394&gt;=DATE(YEAR(A394),4,6),YEAR(A394)&amp;"-"&amp;RIGHT(YEAR(A394)+1,2),YEAR(A394)-1&amp;"-"&amp;RIGHT(YEAR(A394),2)))</f>
      </c>
    </row>
    <row r="395" spans="1:10" x14ac:dyDescent="0.25">
      <c r="A395" s="10"/>
      <c r="B395" s="11"/>
      <c r="C395" s="11"/>
      <c r="D395" s="11"/>
      <c r="E395" s="12"/>
      <c r="F395" s="12"/>
      <c r="G395" s="12"/>
      <c r="H395" s="12"/>
      <c r="I395" s="13">
        <f>IF(E395="","",E395-F395-G395-H395)</f>
      </c>
      <c r="J395" s="14">
        <f>IF(A395="","",IF(A395&gt;=DATE(YEAR(A395),4,6),YEAR(A395)&amp;"-"&amp;RIGHT(YEAR(A395)+1,2),YEAR(A395)-1&amp;"-"&amp;RIGHT(YEAR(A395),2)))</f>
      </c>
    </row>
    <row r="396" spans="1:10" x14ac:dyDescent="0.25">
      <c r="A396" s="10"/>
      <c r="B396" s="11"/>
      <c r="C396" s="11"/>
      <c r="D396" s="11"/>
      <c r="E396" s="12"/>
      <c r="F396" s="12"/>
      <c r="G396" s="12"/>
      <c r="H396" s="12"/>
      <c r="I396" s="13">
        <f>IF(E396="","",E396-F396-G396-H396)</f>
      </c>
      <c r="J396" s="14">
        <f>IF(A396="","",IF(A396&gt;=DATE(YEAR(A396),4,6),YEAR(A396)&amp;"-"&amp;RIGHT(YEAR(A396)+1,2),YEAR(A396)-1&amp;"-"&amp;RIGHT(YEAR(A396),2)))</f>
      </c>
    </row>
    <row r="397" spans="1:10" x14ac:dyDescent="0.25">
      <c r="A397" s="10"/>
      <c r="B397" s="11"/>
      <c r="C397" s="11"/>
      <c r="D397" s="11"/>
      <c r="E397" s="12"/>
      <c r="F397" s="12"/>
      <c r="G397" s="12"/>
      <c r="H397" s="12"/>
      <c r="I397" s="13">
        <f>IF(E397="","",E397-F397-G397-H397)</f>
      </c>
      <c r="J397" s="14">
        <f>IF(A397="","",IF(A397&gt;=DATE(YEAR(A397),4,6),YEAR(A397)&amp;"-"&amp;RIGHT(YEAR(A397)+1,2),YEAR(A397)-1&amp;"-"&amp;RIGHT(YEAR(A397),2)))</f>
      </c>
    </row>
    <row r="398" spans="1:10" x14ac:dyDescent="0.25">
      <c r="A398" s="10"/>
      <c r="B398" s="11"/>
      <c r="C398" s="11"/>
      <c r="D398" s="11"/>
      <c r="E398" s="12"/>
      <c r="F398" s="12"/>
      <c r="G398" s="12"/>
      <c r="H398" s="12"/>
      <c r="I398" s="13">
        <f>IF(E398="","",E398-F398-G398-H398)</f>
      </c>
      <c r="J398" s="14">
        <f>IF(A398="","",IF(A398&gt;=DATE(YEAR(A398),4,6),YEAR(A398)&amp;"-"&amp;RIGHT(YEAR(A398)+1,2),YEAR(A398)-1&amp;"-"&amp;RIGHT(YEAR(A398),2)))</f>
      </c>
    </row>
    <row r="399" spans="1:10" x14ac:dyDescent="0.25">
      <c r="A399" s="10"/>
      <c r="B399" s="11"/>
      <c r="C399" s="11"/>
      <c r="D399" s="11"/>
      <c r="E399" s="12"/>
      <c r="F399" s="12"/>
      <c r="G399" s="12"/>
      <c r="H399" s="12"/>
      <c r="I399" s="13">
        <f>IF(E399="","",E399-F399-G399-H399)</f>
      </c>
      <c r="J399" s="14">
        <f>IF(A399="","",IF(A399&gt;=DATE(YEAR(A399),4,6),YEAR(A399)&amp;"-"&amp;RIGHT(YEAR(A399)+1,2),YEAR(A399)-1&amp;"-"&amp;RIGHT(YEAR(A399),2)))</f>
      </c>
    </row>
    <row r="400" spans="1:10" x14ac:dyDescent="0.25">
      <c r="A400" s="10"/>
      <c r="B400" s="11"/>
      <c r="C400" s="11"/>
      <c r="D400" s="11"/>
      <c r="E400" s="12"/>
      <c r="F400" s="12"/>
      <c r="G400" s="12"/>
      <c r="H400" s="12"/>
      <c r="I400" s="13">
        <f>IF(E400="","",E400-F400-G400-H400)</f>
      </c>
      <c r="J400" s="14">
        <f>IF(A400="","",IF(A400&gt;=DATE(YEAR(A400),4,6),YEAR(A400)&amp;"-"&amp;RIGHT(YEAR(A400)+1,2),YEAR(A400)-1&amp;"-"&amp;RIGHT(YEAR(A400),2)))</f>
      </c>
    </row>
    <row r="401" spans="1:10" x14ac:dyDescent="0.25">
      <c r="A401" s="10"/>
      <c r="B401" s="11"/>
      <c r="C401" s="11"/>
      <c r="D401" s="11"/>
      <c r="E401" s="12"/>
      <c r="F401" s="12"/>
      <c r="G401" s="12"/>
      <c r="H401" s="12"/>
      <c r="I401" s="13">
        <f>IF(E401="","",E401-F401-G401-H401)</f>
      </c>
      <c r="J401" s="14">
        <f>IF(A401="","",IF(A401&gt;=DATE(YEAR(A401),4,6),YEAR(A401)&amp;"-"&amp;RIGHT(YEAR(A401)+1,2),YEAR(A401)-1&amp;"-"&amp;RIGHT(YEAR(A401),2)))</f>
      </c>
    </row>
    <row r="402" spans="1:10" x14ac:dyDescent="0.25">
      <c r="A402" s="10"/>
      <c r="B402" s="11"/>
      <c r="C402" s="11"/>
      <c r="D402" s="11"/>
      <c r="E402" s="12"/>
      <c r="F402" s="12"/>
      <c r="G402" s="12"/>
      <c r="H402" s="12"/>
      <c r="I402" s="13">
        <f>IF(E402="","",E402-F402-G402-H402)</f>
      </c>
      <c r="J402" s="14">
        <f>IF(A402="","",IF(A402&gt;=DATE(YEAR(A402),4,6),YEAR(A402)&amp;"-"&amp;RIGHT(YEAR(A402)+1,2),YEAR(A402)-1&amp;"-"&amp;RIGHT(YEAR(A402),2)))</f>
      </c>
    </row>
    <row r="403" spans="1:10" x14ac:dyDescent="0.25">
      <c r="A403" s="10"/>
      <c r="B403" s="11"/>
      <c r="C403" s="11"/>
      <c r="D403" s="11"/>
      <c r="E403" s="12"/>
      <c r="F403" s="12"/>
      <c r="G403" s="12"/>
      <c r="H403" s="12"/>
      <c r="I403" s="13">
        <f>IF(E403="","",E403-F403-G403-H403)</f>
      </c>
      <c r="J403" s="14">
        <f>IF(A403="","",IF(A403&gt;=DATE(YEAR(A403),4,6),YEAR(A403)&amp;"-"&amp;RIGHT(YEAR(A403)+1,2),YEAR(A403)-1&amp;"-"&amp;RIGHT(YEAR(A403),2)))</f>
      </c>
    </row>
    <row r="404" spans="1:10" x14ac:dyDescent="0.25">
      <c r="A404" s="10"/>
      <c r="B404" s="11"/>
      <c r="C404" s="11"/>
      <c r="D404" s="11"/>
      <c r="E404" s="12"/>
      <c r="F404" s="12"/>
      <c r="G404" s="12"/>
      <c r="H404" s="12"/>
      <c r="I404" s="13">
        <f>IF(E404="","",E404-F404-G404-H404)</f>
      </c>
      <c r="J404" s="14">
        <f>IF(A404="","",IF(A404&gt;=DATE(YEAR(A404),4,6),YEAR(A404)&amp;"-"&amp;RIGHT(YEAR(A404)+1,2),YEAR(A404)-1&amp;"-"&amp;RIGHT(YEAR(A404),2)))</f>
      </c>
    </row>
    <row r="405" spans="1:10" x14ac:dyDescent="0.25">
      <c r="A405" s="10"/>
      <c r="B405" s="11"/>
      <c r="C405" s="11"/>
      <c r="D405" s="11"/>
      <c r="E405" s="12"/>
      <c r="F405" s="12"/>
      <c r="G405" s="12"/>
      <c r="H405" s="12"/>
      <c r="I405" s="13">
        <f>IF(E405="","",E405-F405-G405-H405)</f>
      </c>
      <c r="J405" s="14">
        <f>IF(A405="","",IF(A405&gt;=DATE(YEAR(A405),4,6),YEAR(A405)&amp;"-"&amp;RIGHT(YEAR(A405)+1,2),YEAR(A405)-1&amp;"-"&amp;RIGHT(YEAR(A405),2)))</f>
      </c>
    </row>
    <row r="406" spans="1:10" x14ac:dyDescent="0.25">
      <c r="A406" s="10"/>
      <c r="B406" s="11"/>
      <c r="C406" s="11"/>
      <c r="D406" s="11"/>
      <c r="E406" s="12"/>
      <c r="F406" s="12"/>
      <c r="G406" s="12"/>
      <c r="H406" s="12"/>
      <c r="I406" s="13">
        <f>IF(E406="","",E406-F406-G406-H406)</f>
      </c>
      <c r="J406" s="14">
        <f>IF(A406="","",IF(A406&gt;=DATE(YEAR(A406),4,6),YEAR(A406)&amp;"-"&amp;RIGHT(YEAR(A406)+1,2),YEAR(A406)-1&amp;"-"&amp;RIGHT(YEAR(A406),2)))</f>
      </c>
    </row>
    <row r="407" spans="1:10" x14ac:dyDescent="0.25">
      <c r="A407" s="10"/>
      <c r="B407" s="11"/>
      <c r="C407" s="11"/>
      <c r="D407" s="11"/>
      <c r="E407" s="12"/>
      <c r="F407" s="12"/>
      <c r="G407" s="12"/>
      <c r="H407" s="12"/>
      <c r="I407" s="13">
        <f>IF(E407="","",E407-F407-G407-H407)</f>
      </c>
      <c r="J407" s="14">
        <f>IF(A407="","",IF(A407&gt;=DATE(YEAR(A407),4,6),YEAR(A407)&amp;"-"&amp;RIGHT(YEAR(A407)+1,2),YEAR(A407)-1&amp;"-"&amp;RIGHT(YEAR(A407),2)))</f>
      </c>
    </row>
    <row r="408" spans="1:10" x14ac:dyDescent="0.25">
      <c r="A408" s="10"/>
      <c r="B408" s="11"/>
      <c r="C408" s="11"/>
      <c r="D408" s="11"/>
      <c r="E408" s="12"/>
      <c r="F408" s="12"/>
      <c r="G408" s="12"/>
      <c r="H408" s="12"/>
      <c r="I408" s="13">
        <f>IF(E408="","",E408-F408-G408-H408)</f>
      </c>
      <c r="J408" s="14">
        <f>IF(A408="","",IF(A408&gt;=DATE(YEAR(A408),4,6),YEAR(A408)&amp;"-"&amp;RIGHT(YEAR(A408)+1,2),YEAR(A408)-1&amp;"-"&amp;RIGHT(YEAR(A408),2)))</f>
      </c>
    </row>
    <row r="409" spans="1:10" x14ac:dyDescent="0.25">
      <c r="A409" s="10"/>
      <c r="B409" s="11"/>
      <c r="C409" s="11"/>
      <c r="D409" s="11"/>
      <c r="E409" s="12"/>
      <c r="F409" s="12"/>
      <c r="G409" s="12"/>
      <c r="H409" s="12"/>
      <c r="I409" s="13">
        <f>IF(E409="","",E409-F409-G409-H409)</f>
      </c>
      <c r="J409" s="14">
        <f>IF(A409="","",IF(A409&gt;=DATE(YEAR(A409),4,6),YEAR(A409)&amp;"-"&amp;RIGHT(YEAR(A409)+1,2),YEAR(A409)-1&amp;"-"&amp;RIGHT(YEAR(A409),2)))</f>
      </c>
    </row>
    <row r="410" spans="1:10" x14ac:dyDescent="0.25">
      <c r="A410" s="10"/>
      <c r="B410" s="11"/>
      <c r="C410" s="11"/>
      <c r="D410" s="11"/>
      <c r="E410" s="12"/>
      <c r="F410" s="12"/>
      <c r="G410" s="12"/>
      <c r="H410" s="12"/>
      <c r="I410" s="13">
        <f>IF(E410="","",E410-F410-G410-H410)</f>
      </c>
      <c r="J410" s="14">
        <f>IF(A410="","",IF(A410&gt;=DATE(YEAR(A410),4,6),YEAR(A410)&amp;"-"&amp;RIGHT(YEAR(A410)+1,2),YEAR(A410)-1&amp;"-"&amp;RIGHT(YEAR(A410),2)))</f>
      </c>
    </row>
    <row r="411" spans="1:10" x14ac:dyDescent="0.25">
      <c r="A411" s="10"/>
      <c r="B411" s="11"/>
      <c r="C411" s="11"/>
      <c r="D411" s="11"/>
      <c r="E411" s="12"/>
      <c r="F411" s="12"/>
      <c r="G411" s="12"/>
      <c r="H411" s="12"/>
      <c r="I411" s="13">
        <f>IF(E411="","",E411-F411-G411-H411)</f>
      </c>
      <c r="J411" s="14">
        <f>IF(A411="","",IF(A411&gt;=DATE(YEAR(A411),4,6),YEAR(A411)&amp;"-"&amp;RIGHT(YEAR(A411)+1,2),YEAR(A411)-1&amp;"-"&amp;RIGHT(YEAR(A411),2)))</f>
      </c>
    </row>
    <row r="412" spans="1:10" x14ac:dyDescent="0.25">
      <c r="A412" s="10"/>
      <c r="B412" s="11"/>
      <c r="C412" s="11"/>
      <c r="D412" s="11"/>
      <c r="E412" s="12"/>
      <c r="F412" s="12"/>
      <c r="G412" s="12"/>
      <c r="H412" s="12"/>
      <c r="I412" s="13">
        <f>IF(E412="","",E412-F412-G412-H412)</f>
      </c>
      <c r="J412" s="14">
        <f>IF(A412="","",IF(A412&gt;=DATE(YEAR(A412),4,6),YEAR(A412)&amp;"-"&amp;RIGHT(YEAR(A412)+1,2),YEAR(A412)-1&amp;"-"&amp;RIGHT(YEAR(A412),2)))</f>
      </c>
    </row>
    <row r="413" spans="1:10" x14ac:dyDescent="0.25">
      <c r="A413" s="10"/>
      <c r="B413" s="11"/>
      <c r="C413" s="11"/>
      <c r="D413" s="11"/>
      <c r="E413" s="12"/>
      <c r="F413" s="12"/>
      <c r="G413" s="12"/>
      <c r="H413" s="12"/>
      <c r="I413" s="13">
        <f>IF(E413="","",E413-F413-G413-H413)</f>
      </c>
      <c r="J413" s="14">
        <f>IF(A413="","",IF(A413&gt;=DATE(YEAR(A413),4,6),YEAR(A413)&amp;"-"&amp;RIGHT(YEAR(A413)+1,2),YEAR(A413)-1&amp;"-"&amp;RIGHT(YEAR(A413),2)))</f>
      </c>
    </row>
    <row r="414" spans="1:10" x14ac:dyDescent="0.25">
      <c r="A414" s="10"/>
      <c r="B414" s="11"/>
      <c r="C414" s="11"/>
      <c r="D414" s="11"/>
      <c r="E414" s="12"/>
      <c r="F414" s="12"/>
      <c r="G414" s="12"/>
      <c r="H414" s="12"/>
      <c r="I414" s="13">
        <f>IF(E414="","",E414-F414-G414-H414)</f>
      </c>
      <c r="J414" s="14">
        <f>IF(A414="","",IF(A414&gt;=DATE(YEAR(A414),4,6),YEAR(A414)&amp;"-"&amp;RIGHT(YEAR(A414)+1,2),YEAR(A414)-1&amp;"-"&amp;RIGHT(YEAR(A414),2)))</f>
      </c>
    </row>
    <row r="415" spans="1:10" x14ac:dyDescent="0.25">
      <c r="A415" s="10"/>
      <c r="B415" s="11"/>
      <c r="C415" s="11"/>
      <c r="D415" s="11"/>
      <c r="E415" s="12"/>
      <c r="F415" s="12"/>
      <c r="G415" s="12"/>
      <c r="H415" s="12"/>
      <c r="I415" s="13">
        <f>IF(E415="","",E415-F415-G415-H415)</f>
      </c>
      <c r="J415" s="14">
        <f>IF(A415="","",IF(A415&gt;=DATE(YEAR(A415),4,6),YEAR(A415)&amp;"-"&amp;RIGHT(YEAR(A415)+1,2),YEAR(A415)-1&amp;"-"&amp;RIGHT(YEAR(A415),2)))</f>
      </c>
    </row>
    <row r="416" spans="1:10" x14ac:dyDescent="0.25">
      <c r="A416" s="10"/>
      <c r="B416" s="11"/>
      <c r="C416" s="11"/>
      <c r="D416" s="11"/>
      <c r="E416" s="12"/>
      <c r="F416" s="12"/>
      <c r="G416" s="12"/>
      <c r="H416" s="12"/>
      <c r="I416" s="13">
        <f>IF(E416="","",E416-F416-G416-H416)</f>
      </c>
      <c r="J416" s="14">
        <f>IF(A416="","",IF(A416&gt;=DATE(YEAR(A416),4,6),YEAR(A416)&amp;"-"&amp;RIGHT(YEAR(A416)+1,2),YEAR(A416)-1&amp;"-"&amp;RIGHT(YEAR(A416),2)))</f>
      </c>
    </row>
    <row r="417" spans="1:10" x14ac:dyDescent="0.25">
      <c r="A417" s="10"/>
      <c r="B417" s="11"/>
      <c r="C417" s="11"/>
      <c r="D417" s="11"/>
      <c r="E417" s="12"/>
      <c r="F417" s="12"/>
      <c r="G417" s="12"/>
      <c r="H417" s="12"/>
      <c r="I417" s="13">
        <f>IF(E417="","",E417-F417-G417-H417)</f>
      </c>
      <c r="J417" s="14">
        <f>IF(A417="","",IF(A417&gt;=DATE(YEAR(A417),4,6),YEAR(A417)&amp;"-"&amp;RIGHT(YEAR(A417)+1,2),YEAR(A417)-1&amp;"-"&amp;RIGHT(YEAR(A417),2)))</f>
      </c>
    </row>
    <row r="418" spans="1:10" x14ac:dyDescent="0.25">
      <c r="A418" s="10"/>
      <c r="B418" s="11"/>
      <c r="C418" s="11"/>
      <c r="D418" s="11"/>
      <c r="E418" s="12"/>
      <c r="F418" s="12"/>
      <c r="G418" s="12"/>
      <c r="H418" s="12"/>
      <c r="I418" s="13">
        <f>IF(E418="","",E418-F418-G418-H418)</f>
      </c>
      <c r="J418" s="14">
        <f>IF(A418="","",IF(A418&gt;=DATE(YEAR(A418),4,6),YEAR(A418)&amp;"-"&amp;RIGHT(YEAR(A418)+1,2),YEAR(A418)-1&amp;"-"&amp;RIGHT(YEAR(A418),2)))</f>
      </c>
    </row>
    <row r="419" spans="1:10" x14ac:dyDescent="0.25">
      <c r="A419" s="10"/>
      <c r="B419" s="11"/>
      <c r="C419" s="11"/>
      <c r="D419" s="11"/>
      <c r="E419" s="12"/>
      <c r="F419" s="12"/>
      <c r="G419" s="12"/>
      <c r="H419" s="12"/>
      <c r="I419" s="13">
        <f>IF(E419="","",E419-F419-G419-H419)</f>
      </c>
      <c r="J419" s="14">
        <f>IF(A419="","",IF(A419&gt;=DATE(YEAR(A419),4,6),YEAR(A419)&amp;"-"&amp;RIGHT(YEAR(A419)+1,2),YEAR(A419)-1&amp;"-"&amp;RIGHT(YEAR(A419),2)))</f>
      </c>
    </row>
    <row r="420" spans="1:10" x14ac:dyDescent="0.25">
      <c r="A420" s="10"/>
      <c r="B420" s="11"/>
      <c r="C420" s="11"/>
      <c r="D420" s="11"/>
      <c r="E420" s="12"/>
      <c r="F420" s="12"/>
      <c r="G420" s="12"/>
      <c r="H420" s="12"/>
      <c r="I420" s="13">
        <f>IF(E420="","",E420-F420-G420-H420)</f>
      </c>
      <c r="J420" s="14">
        <f>IF(A420="","",IF(A420&gt;=DATE(YEAR(A420),4,6),YEAR(A420)&amp;"-"&amp;RIGHT(YEAR(A420)+1,2),YEAR(A420)-1&amp;"-"&amp;RIGHT(YEAR(A420),2)))</f>
      </c>
    </row>
    <row r="421" spans="1:10" x14ac:dyDescent="0.25">
      <c r="A421" s="10"/>
      <c r="B421" s="11"/>
      <c r="C421" s="11"/>
      <c r="D421" s="11"/>
      <c r="E421" s="12"/>
      <c r="F421" s="12"/>
      <c r="G421" s="12"/>
      <c r="H421" s="12"/>
      <c r="I421" s="13">
        <f>IF(E421="","",E421-F421-G421-H421)</f>
      </c>
      <c r="J421" s="14">
        <f>IF(A421="","",IF(A421&gt;=DATE(YEAR(A421),4,6),YEAR(A421)&amp;"-"&amp;RIGHT(YEAR(A421)+1,2),YEAR(A421)-1&amp;"-"&amp;RIGHT(YEAR(A421),2)))</f>
      </c>
    </row>
    <row r="422" spans="1:10" x14ac:dyDescent="0.25">
      <c r="A422" s="10"/>
      <c r="B422" s="11"/>
      <c r="C422" s="11"/>
      <c r="D422" s="11"/>
      <c r="E422" s="12"/>
      <c r="F422" s="12"/>
      <c r="G422" s="12"/>
      <c r="H422" s="12"/>
      <c r="I422" s="13">
        <f>IF(E422="","",E422-F422-G422-H422)</f>
      </c>
      <c r="J422" s="14">
        <f>IF(A422="","",IF(A422&gt;=DATE(YEAR(A422),4,6),YEAR(A422)&amp;"-"&amp;RIGHT(YEAR(A422)+1,2),YEAR(A422)-1&amp;"-"&amp;RIGHT(YEAR(A422),2)))</f>
      </c>
    </row>
    <row r="423" spans="1:10" x14ac:dyDescent="0.25">
      <c r="A423" s="10"/>
      <c r="B423" s="11"/>
      <c r="C423" s="11"/>
      <c r="D423" s="11"/>
      <c r="E423" s="12"/>
      <c r="F423" s="12"/>
      <c r="G423" s="12"/>
      <c r="H423" s="12"/>
      <c r="I423" s="13">
        <f>IF(E423="","",E423-F423-G423-H423)</f>
      </c>
      <c r="J423" s="14">
        <f>IF(A423="","",IF(A423&gt;=DATE(YEAR(A423),4,6),YEAR(A423)&amp;"-"&amp;RIGHT(YEAR(A423)+1,2),YEAR(A423)-1&amp;"-"&amp;RIGHT(YEAR(A423),2)))</f>
      </c>
    </row>
    <row r="424" spans="1:10" x14ac:dyDescent="0.25">
      <c r="A424" s="10"/>
      <c r="B424" s="11"/>
      <c r="C424" s="11"/>
      <c r="D424" s="11"/>
      <c r="E424" s="12"/>
      <c r="F424" s="12"/>
      <c r="G424" s="12"/>
      <c r="H424" s="12"/>
      <c r="I424" s="13">
        <f>IF(E424="","",E424-F424-G424-H424)</f>
      </c>
      <c r="J424" s="14">
        <f>IF(A424="","",IF(A424&gt;=DATE(YEAR(A424),4,6),YEAR(A424)&amp;"-"&amp;RIGHT(YEAR(A424)+1,2),YEAR(A424)-1&amp;"-"&amp;RIGHT(YEAR(A424),2)))</f>
      </c>
    </row>
    <row r="425" spans="1:10" x14ac:dyDescent="0.25">
      <c r="A425" s="10"/>
      <c r="B425" s="11"/>
      <c r="C425" s="11"/>
      <c r="D425" s="11"/>
      <c r="E425" s="12"/>
      <c r="F425" s="12"/>
      <c r="G425" s="12"/>
      <c r="H425" s="12"/>
      <c r="I425" s="13">
        <f>IF(E425="","",E425-F425-G425-H425)</f>
      </c>
      <c r="J425" s="14">
        <f>IF(A425="","",IF(A425&gt;=DATE(YEAR(A425),4,6),YEAR(A425)&amp;"-"&amp;RIGHT(YEAR(A425)+1,2),YEAR(A425)-1&amp;"-"&amp;RIGHT(YEAR(A425),2)))</f>
      </c>
    </row>
    <row r="426" spans="1:10" x14ac:dyDescent="0.25">
      <c r="A426" s="10"/>
      <c r="B426" s="11"/>
      <c r="C426" s="11"/>
      <c r="D426" s="11"/>
      <c r="E426" s="12"/>
      <c r="F426" s="12"/>
      <c r="G426" s="12"/>
      <c r="H426" s="12"/>
      <c r="I426" s="13">
        <f>IF(E426="","",E426-F426-G426-H426)</f>
      </c>
      <c r="J426" s="14">
        <f>IF(A426="","",IF(A426&gt;=DATE(YEAR(A426),4,6),YEAR(A426)&amp;"-"&amp;RIGHT(YEAR(A426)+1,2),YEAR(A426)-1&amp;"-"&amp;RIGHT(YEAR(A426),2)))</f>
      </c>
    </row>
    <row r="427" spans="1:10" x14ac:dyDescent="0.25">
      <c r="A427" s="10"/>
      <c r="B427" s="11"/>
      <c r="C427" s="11"/>
      <c r="D427" s="11"/>
      <c r="E427" s="12"/>
      <c r="F427" s="12"/>
      <c r="G427" s="12"/>
      <c r="H427" s="12"/>
      <c r="I427" s="13">
        <f>IF(E427="","",E427-F427-G427-H427)</f>
      </c>
      <c r="J427" s="14">
        <f>IF(A427="","",IF(A427&gt;=DATE(YEAR(A427),4,6),YEAR(A427)&amp;"-"&amp;RIGHT(YEAR(A427)+1,2),YEAR(A427)-1&amp;"-"&amp;RIGHT(YEAR(A427),2)))</f>
      </c>
    </row>
    <row r="428" spans="1:10" x14ac:dyDescent="0.25">
      <c r="A428" s="10"/>
      <c r="B428" s="11"/>
      <c r="C428" s="11"/>
      <c r="D428" s="11"/>
      <c r="E428" s="12"/>
      <c r="F428" s="12"/>
      <c r="G428" s="12"/>
      <c r="H428" s="12"/>
      <c r="I428" s="13">
        <f>IF(E428="","",E428-F428-G428-H428)</f>
      </c>
      <c r="J428" s="14">
        <f>IF(A428="","",IF(A428&gt;=DATE(YEAR(A428),4,6),YEAR(A428)&amp;"-"&amp;RIGHT(YEAR(A428)+1,2),YEAR(A428)-1&amp;"-"&amp;RIGHT(YEAR(A428),2)))</f>
      </c>
    </row>
    <row r="429" spans="1:10" x14ac:dyDescent="0.25">
      <c r="A429" s="10"/>
      <c r="B429" s="11"/>
      <c r="C429" s="11"/>
      <c r="D429" s="11"/>
      <c r="E429" s="12"/>
      <c r="F429" s="12"/>
      <c r="G429" s="12"/>
      <c r="H429" s="12"/>
      <c r="I429" s="13">
        <f>IF(E429="","",E429-F429-G429-H429)</f>
      </c>
      <c r="J429" s="14">
        <f>IF(A429="","",IF(A429&gt;=DATE(YEAR(A429),4,6),YEAR(A429)&amp;"-"&amp;RIGHT(YEAR(A429)+1,2),YEAR(A429)-1&amp;"-"&amp;RIGHT(YEAR(A429),2)))</f>
      </c>
    </row>
    <row r="430" spans="1:10" x14ac:dyDescent="0.25">
      <c r="A430" s="10"/>
      <c r="B430" s="11"/>
      <c r="C430" s="11"/>
      <c r="D430" s="11"/>
      <c r="E430" s="12"/>
      <c r="F430" s="12"/>
      <c r="G430" s="12"/>
      <c r="H430" s="12"/>
      <c r="I430" s="13">
        <f>IF(E430="","",E430-F430-G430-H430)</f>
      </c>
      <c r="J430" s="14">
        <f>IF(A430="","",IF(A430&gt;=DATE(YEAR(A430),4,6),YEAR(A430)&amp;"-"&amp;RIGHT(YEAR(A430)+1,2),YEAR(A430)-1&amp;"-"&amp;RIGHT(YEAR(A430),2)))</f>
      </c>
    </row>
    <row r="431" spans="1:10" x14ac:dyDescent="0.25">
      <c r="A431" s="10"/>
      <c r="B431" s="11"/>
      <c r="C431" s="11"/>
      <c r="D431" s="11"/>
      <c r="E431" s="12"/>
      <c r="F431" s="12"/>
      <c r="G431" s="12"/>
      <c r="H431" s="12"/>
      <c r="I431" s="13">
        <f>IF(E431="","",E431-F431-G431-H431)</f>
      </c>
      <c r="J431" s="14">
        <f>IF(A431="","",IF(A431&gt;=DATE(YEAR(A431),4,6),YEAR(A431)&amp;"-"&amp;RIGHT(YEAR(A431)+1,2),YEAR(A431)-1&amp;"-"&amp;RIGHT(YEAR(A431),2)))</f>
      </c>
    </row>
    <row r="432" spans="1:10" x14ac:dyDescent="0.25">
      <c r="A432" s="10"/>
      <c r="B432" s="11"/>
      <c r="C432" s="11"/>
      <c r="D432" s="11"/>
      <c r="E432" s="12"/>
      <c r="F432" s="12"/>
      <c r="G432" s="12"/>
      <c r="H432" s="12"/>
      <c r="I432" s="13">
        <f>IF(E432="","",E432-F432-G432-H432)</f>
      </c>
      <c r="J432" s="14">
        <f>IF(A432="","",IF(A432&gt;=DATE(YEAR(A432),4,6),YEAR(A432)&amp;"-"&amp;RIGHT(YEAR(A432)+1,2),YEAR(A432)-1&amp;"-"&amp;RIGHT(YEAR(A432),2)))</f>
      </c>
    </row>
    <row r="433" spans="1:10" x14ac:dyDescent="0.25">
      <c r="A433" s="10"/>
      <c r="B433" s="11"/>
      <c r="C433" s="11"/>
      <c r="D433" s="11"/>
      <c r="E433" s="12"/>
      <c r="F433" s="12"/>
      <c r="G433" s="12"/>
      <c r="H433" s="12"/>
      <c r="I433" s="13">
        <f>IF(E433="","",E433-F433-G433-H433)</f>
      </c>
      <c r="J433" s="14">
        <f>IF(A433="","",IF(A433&gt;=DATE(YEAR(A433),4,6),YEAR(A433)&amp;"-"&amp;RIGHT(YEAR(A433)+1,2),YEAR(A433)-1&amp;"-"&amp;RIGHT(YEAR(A433),2)))</f>
      </c>
    </row>
    <row r="434" spans="1:10" x14ac:dyDescent="0.25">
      <c r="A434" s="10"/>
      <c r="B434" s="11"/>
      <c r="C434" s="11"/>
      <c r="D434" s="11"/>
      <c r="E434" s="12"/>
      <c r="F434" s="12"/>
      <c r="G434" s="12"/>
      <c r="H434" s="12"/>
      <c r="I434" s="13">
        <f>IF(E434="","",E434-F434-G434-H434)</f>
      </c>
      <c r="J434" s="14">
        <f>IF(A434="","",IF(A434&gt;=DATE(YEAR(A434),4,6),YEAR(A434)&amp;"-"&amp;RIGHT(YEAR(A434)+1,2),YEAR(A434)-1&amp;"-"&amp;RIGHT(YEAR(A434),2)))</f>
      </c>
    </row>
    <row r="435" spans="1:10" x14ac:dyDescent="0.25">
      <c r="A435" s="10"/>
      <c r="B435" s="11"/>
      <c r="C435" s="11"/>
      <c r="D435" s="11"/>
      <c r="E435" s="12"/>
      <c r="F435" s="12"/>
      <c r="G435" s="12"/>
      <c r="H435" s="12"/>
      <c r="I435" s="13">
        <f>IF(E435="","",E435-F435-G435-H435)</f>
      </c>
      <c r="J435" s="14">
        <f>IF(A435="","",IF(A435&gt;=DATE(YEAR(A435),4,6),YEAR(A435)&amp;"-"&amp;RIGHT(YEAR(A435)+1,2),YEAR(A435)-1&amp;"-"&amp;RIGHT(YEAR(A435),2)))</f>
      </c>
    </row>
    <row r="436" spans="1:10" x14ac:dyDescent="0.25">
      <c r="A436" s="10"/>
      <c r="B436" s="11"/>
      <c r="C436" s="11"/>
      <c r="D436" s="11"/>
      <c r="E436" s="12"/>
      <c r="F436" s="12"/>
      <c r="G436" s="12"/>
      <c r="H436" s="12"/>
      <c r="I436" s="13">
        <f>IF(E436="","",E436-F436-G436-H436)</f>
      </c>
      <c r="J436" s="14">
        <f>IF(A436="","",IF(A436&gt;=DATE(YEAR(A436),4,6),YEAR(A436)&amp;"-"&amp;RIGHT(YEAR(A436)+1,2),YEAR(A436)-1&amp;"-"&amp;RIGHT(YEAR(A436),2)))</f>
      </c>
    </row>
    <row r="437" spans="1:10" x14ac:dyDescent="0.25">
      <c r="A437" s="10"/>
      <c r="B437" s="11"/>
      <c r="C437" s="11"/>
      <c r="D437" s="11"/>
      <c r="E437" s="12"/>
      <c r="F437" s="12"/>
      <c r="G437" s="12"/>
      <c r="H437" s="12"/>
      <c r="I437" s="13">
        <f>IF(E437="","",E437-F437-G437-H437)</f>
      </c>
      <c r="J437" s="14">
        <f>IF(A437="","",IF(A437&gt;=DATE(YEAR(A437),4,6),YEAR(A437)&amp;"-"&amp;RIGHT(YEAR(A437)+1,2),YEAR(A437)-1&amp;"-"&amp;RIGHT(YEAR(A437),2)))</f>
      </c>
    </row>
    <row r="438" spans="1:10" x14ac:dyDescent="0.25">
      <c r="A438" s="10"/>
      <c r="B438" s="11"/>
      <c r="C438" s="11"/>
      <c r="D438" s="11"/>
      <c r="E438" s="12"/>
      <c r="F438" s="12"/>
      <c r="G438" s="12"/>
      <c r="H438" s="12"/>
      <c r="I438" s="13">
        <f>IF(E438="","",E438-F438-G438-H438)</f>
      </c>
      <c r="J438" s="14">
        <f>IF(A438="","",IF(A438&gt;=DATE(YEAR(A438),4,6),YEAR(A438)&amp;"-"&amp;RIGHT(YEAR(A438)+1,2),YEAR(A438)-1&amp;"-"&amp;RIGHT(YEAR(A438),2)))</f>
      </c>
    </row>
    <row r="439" spans="1:10" x14ac:dyDescent="0.25">
      <c r="A439" s="10"/>
      <c r="B439" s="11"/>
      <c r="C439" s="11"/>
      <c r="D439" s="11"/>
      <c r="E439" s="12"/>
      <c r="F439" s="12"/>
      <c r="G439" s="12"/>
      <c r="H439" s="12"/>
      <c r="I439" s="13">
        <f>IF(E439="","",E439-F439-G439-H439)</f>
      </c>
      <c r="J439" s="14">
        <f>IF(A439="","",IF(A439&gt;=DATE(YEAR(A439),4,6),YEAR(A439)&amp;"-"&amp;RIGHT(YEAR(A439)+1,2),YEAR(A439)-1&amp;"-"&amp;RIGHT(YEAR(A439),2)))</f>
      </c>
    </row>
    <row r="440" spans="1:10" x14ac:dyDescent="0.25">
      <c r="A440" s="10"/>
      <c r="B440" s="11"/>
      <c r="C440" s="11"/>
      <c r="D440" s="11"/>
      <c r="E440" s="12"/>
      <c r="F440" s="12"/>
      <c r="G440" s="12"/>
      <c r="H440" s="12"/>
      <c r="I440" s="13">
        <f>IF(E440="","",E440-F440-G440-H440)</f>
      </c>
      <c r="J440" s="14">
        <f>IF(A440="","",IF(A440&gt;=DATE(YEAR(A440),4,6),YEAR(A440)&amp;"-"&amp;RIGHT(YEAR(A440)+1,2),YEAR(A440)-1&amp;"-"&amp;RIGHT(YEAR(A440),2)))</f>
      </c>
    </row>
    <row r="441" spans="1:10" x14ac:dyDescent="0.25">
      <c r="A441" s="10"/>
      <c r="B441" s="11"/>
      <c r="C441" s="11"/>
      <c r="D441" s="11"/>
      <c r="E441" s="12"/>
      <c r="F441" s="12"/>
      <c r="G441" s="12"/>
      <c r="H441" s="12"/>
      <c r="I441" s="13">
        <f>IF(E441="","",E441-F441-G441-H441)</f>
      </c>
      <c r="J441" s="14">
        <f>IF(A441="","",IF(A441&gt;=DATE(YEAR(A441),4,6),YEAR(A441)&amp;"-"&amp;RIGHT(YEAR(A441)+1,2),YEAR(A441)-1&amp;"-"&amp;RIGHT(YEAR(A441),2)))</f>
      </c>
    </row>
    <row r="442" spans="1:10" x14ac:dyDescent="0.25">
      <c r="A442" s="10"/>
      <c r="B442" s="11"/>
      <c r="C442" s="11"/>
      <c r="D442" s="11"/>
      <c r="E442" s="12"/>
      <c r="F442" s="12"/>
      <c r="G442" s="12"/>
      <c r="H442" s="12"/>
      <c r="I442" s="13">
        <f>IF(E442="","",E442-F442-G442-H442)</f>
      </c>
      <c r="J442" s="14">
        <f>IF(A442="","",IF(A442&gt;=DATE(YEAR(A442),4,6),YEAR(A442)&amp;"-"&amp;RIGHT(YEAR(A442)+1,2),YEAR(A442)-1&amp;"-"&amp;RIGHT(YEAR(A442),2)))</f>
      </c>
    </row>
    <row r="443" spans="1:10" x14ac:dyDescent="0.25">
      <c r="A443" s="10"/>
      <c r="B443" s="11"/>
      <c r="C443" s="11"/>
      <c r="D443" s="11"/>
      <c r="E443" s="12"/>
      <c r="F443" s="12"/>
      <c r="G443" s="12"/>
      <c r="H443" s="12"/>
      <c r="I443" s="13">
        <f>IF(E443="","",E443-F443-G443-H443)</f>
      </c>
      <c r="J443" s="14">
        <f>IF(A443="","",IF(A443&gt;=DATE(YEAR(A443),4,6),YEAR(A443)&amp;"-"&amp;RIGHT(YEAR(A443)+1,2),YEAR(A443)-1&amp;"-"&amp;RIGHT(YEAR(A443),2)))</f>
      </c>
    </row>
    <row r="444" spans="1:10" x14ac:dyDescent="0.25">
      <c r="A444" s="10"/>
      <c r="B444" s="11"/>
      <c r="C444" s="11"/>
      <c r="D444" s="11"/>
      <c r="E444" s="12"/>
      <c r="F444" s="12"/>
      <c r="G444" s="12"/>
      <c r="H444" s="12"/>
      <c r="I444" s="13">
        <f>IF(E444="","",E444-F444-G444-H444)</f>
      </c>
      <c r="J444" s="14">
        <f>IF(A444="","",IF(A444&gt;=DATE(YEAR(A444),4,6),YEAR(A444)&amp;"-"&amp;RIGHT(YEAR(A444)+1,2),YEAR(A444)-1&amp;"-"&amp;RIGHT(YEAR(A444),2)))</f>
      </c>
    </row>
    <row r="445" spans="1:10" x14ac:dyDescent="0.25">
      <c r="A445" s="10"/>
      <c r="B445" s="11"/>
      <c r="C445" s="11"/>
      <c r="D445" s="11"/>
      <c r="E445" s="12"/>
      <c r="F445" s="12"/>
      <c r="G445" s="12"/>
      <c r="H445" s="12"/>
      <c r="I445" s="13">
        <f>IF(E445="","",E445-F445-G445-H445)</f>
      </c>
      <c r="J445" s="14">
        <f>IF(A445="","",IF(A445&gt;=DATE(YEAR(A445),4,6),YEAR(A445)&amp;"-"&amp;RIGHT(YEAR(A445)+1,2),YEAR(A445)-1&amp;"-"&amp;RIGHT(YEAR(A445),2)))</f>
      </c>
    </row>
    <row r="446" spans="1:10" x14ac:dyDescent="0.25">
      <c r="A446" s="10"/>
      <c r="B446" s="11"/>
      <c r="C446" s="11"/>
      <c r="D446" s="11"/>
      <c r="E446" s="12"/>
      <c r="F446" s="12"/>
      <c r="G446" s="12"/>
      <c r="H446" s="12"/>
      <c r="I446" s="13">
        <f>IF(E446="","",E446-F446-G446-H446)</f>
      </c>
      <c r="J446" s="14">
        <f>IF(A446="","",IF(A446&gt;=DATE(YEAR(A446),4,6),YEAR(A446)&amp;"-"&amp;RIGHT(YEAR(A446)+1,2),YEAR(A446)-1&amp;"-"&amp;RIGHT(YEAR(A446),2)))</f>
      </c>
    </row>
    <row r="447" spans="1:10" x14ac:dyDescent="0.25">
      <c r="A447" s="10"/>
      <c r="B447" s="11"/>
      <c r="C447" s="11"/>
      <c r="D447" s="11"/>
      <c r="E447" s="12"/>
      <c r="F447" s="12"/>
      <c r="G447" s="12"/>
      <c r="H447" s="12"/>
      <c r="I447" s="13">
        <f>IF(E447="","",E447-F447-G447-H447)</f>
      </c>
      <c r="J447" s="14">
        <f>IF(A447="","",IF(A447&gt;=DATE(YEAR(A447),4,6),YEAR(A447)&amp;"-"&amp;RIGHT(YEAR(A447)+1,2),YEAR(A447)-1&amp;"-"&amp;RIGHT(YEAR(A447),2)))</f>
      </c>
    </row>
    <row r="448" spans="1:10" x14ac:dyDescent="0.25">
      <c r="A448" s="10"/>
      <c r="B448" s="11"/>
      <c r="C448" s="11"/>
      <c r="D448" s="11"/>
      <c r="E448" s="12"/>
      <c r="F448" s="12"/>
      <c r="G448" s="12"/>
      <c r="H448" s="12"/>
      <c r="I448" s="13">
        <f>IF(E448="","",E448-F448-G448-H448)</f>
      </c>
      <c r="J448" s="14">
        <f>IF(A448="","",IF(A448&gt;=DATE(YEAR(A448),4,6),YEAR(A448)&amp;"-"&amp;RIGHT(YEAR(A448)+1,2),YEAR(A448)-1&amp;"-"&amp;RIGHT(YEAR(A448),2)))</f>
      </c>
    </row>
    <row r="449" spans="1:10" x14ac:dyDescent="0.25">
      <c r="A449" s="10"/>
      <c r="B449" s="11"/>
      <c r="C449" s="11"/>
      <c r="D449" s="11"/>
      <c r="E449" s="12"/>
      <c r="F449" s="12"/>
      <c r="G449" s="12"/>
      <c r="H449" s="12"/>
      <c r="I449" s="13">
        <f>IF(E449="","",E449-F449-G449-H449)</f>
      </c>
      <c r="J449" s="14">
        <f>IF(A449="","",IF(A449&gt;=DATE(YEAR(A449),4,6),YEAR(A449)&amp;"-"&amp;RIGHT(YEAR(A449)+1,2),YEAR(A449)-1&amp;"-"&amp;RIGHT(YEAR(A449),2)))</f>
      </c>
    </row>
    <row r="450" spans="1:10" x14ac:dyDescent="0.25">
      <c r="A450" s="10"/>
      <c r="B450" s="11"/>
      <c r="C450" s="11"/>
      <c r="D450" s="11"/>
      <c r="E450" s="12"/>
      <c r="F450" s="12"/>
      <c r="G450" s="12"/>
      <c r="H450" s="12"/>
      <c r="I450" s="13">
        <f>IF(E450="","",E450-F450-G450-H450)</f>
      </c>
      <c r="J450" s="14">
        <f>IF(A450="","",IF(A450&gt;=DATE(YEAR(A450),4,6),YEAR(A450)&amp;"-"&amp;RIGHT(YEAR(A450)+1,2),YEAR(A450)-1&amp;"-"&amp;RIGHT(YEAR(A450),2)))</f>
      </c>
    </row>
    <row r="451" spans="1:10" x14ac:dyDescent="0.25">
      <c r="A451" s="10"/>
      <c r="B451" s="11"/>
      <c r="C451" s="11"/>
      <c r="D451" s="11"/>
      <c r="E451" s="12"/>
      <c r="F451" s="12"/>
      <c r="G451" s="12"/>
      <c r="H451" s="12"/>
      <c r="I451" s="13">
        <f>IF(E451="","",E451-F451-G451-H451)</f>
      </c>
      <c r="J451" s="14">
        <f>IF(A451="","",IF(A451&gt;=DATE(YEAR(A451),4,6),YEAR(A451)&amp;"-"&amp;RIGHT(YEAR(A451)+1,2),YEAR(A451)-1&amp;"-"&amp;RIGHT(YEAR(A451),2)))</f>
      </c>
    </row>
    <row r="452" spans="1:10" x14ac:dyDescent="0.25">
      <c r="A452" s="10"/>
      <c r="B452" s="11"/>
      <c r="C452" s="11"/>
      <c r="D452" s="11"/>
      <c r="E452" s="12"/>
      <c r="F452" s="12"/>
      <c r="G452" s="12"/>
      <c r="H452" s="12"/>
      <c r="I452" s="13">
        <f>IF(E452="","",E452-F452-G452-H452)</f>
      </c>
      <c r="J452" s="14">
        <f>IF(A452="","",IF(A452&gt;=DATE(YEAR(A452),4,6),YEAR(A452)&amp;"-"&amp;RIGHT(YEAR(A452)+1,2),YEAR(A452)-1&amp;"-"&amp;RIGHT(YEAR(A452),2)))</f>
      </c>
    </row>
    <row r="453" spans="1:10" x14ac:dyDescent="0.25">
      <c r="A453" s="10"/>
      <c r="B453" s="11"/>
      <c r="C453" s="11"/>
      <c r="D453" s="11"/>
      <c r="E453" s="12"/>
      <c r="F453" s="12"/>
      <c r="G453" s="12"/>
      <c r="H453" s="12"/>
      <c r="I453" s="13">
        <f>IF(E453="","",E453-F453-G453-H453)</f>
      </c>
      <c r="J453" s="14">
        <f>IF(A453="","",IF(A453&gt;=DATE(YEAR(A453),4,6),YEAR(A453)&amp;"-"&amp;RIGHT(YEAR(A453)+1,2),YEAR(A453)-1&amp;"-"&amp;RIGHT(YEAR(A453),2)))</f>
      </c>
    </row>
    <row r="454" spans="1:10" x14ac:dyDescent="0.25">
      <c r="A454" s="10"/>
      <c r="B454" s="11"/>
      <c r="C454" s="11"/>
      <c r="D454" s="11"/>
      <c r="E454" s="12"/>
      <c r="F454" s="12"/>
      <c r="G454" s="12"/>
      <c r="H454" s="12"/>
      <c r="I454" s="13">
        <f>IF(E454="","",E454-F454-G454-H454)</f>
      </c>
      <c r="J454" s="14">
        <f>IF(A454="","",IF(A454&gt;=DATE(YEAR(A454),4,6),YEAR(A454)&amp;"-"&amp;RIGHT(YEAR(A454)+1,2),YEAR(A454)-1&amp;"-"&amp;RIGHT(YEAR(A454),2)))</f>
      </c>
    </row>
    <row r="455" spans="1:10" x14ac:dyDescent="0.25">
      <c r="A455" s="10"/>
      <c r="B455" s="11"/>
      <c r="C455" s="11"/>
      <c r="D455" s="11"/>
      <c r="E455" s="12"/>
      <c r="F455" s="12"/>
      <c r="G455" s="12"/>
      <c r="H455" s="12"/>
      <c r="I455" s="13">
        <f>IF(E455="","",E455-F455-G455-H455)</f>
      </c>
      <c r="J455" s="14">
        <f>IF(A455="","",IF(A455&gt;=DATE(YEAR(A455),4,6),YEAR(A455)&amp;"-"&amp;RIGHT(YEAR(A455)+1,2),YEAR(A455)-1&amp;"-"&amp;RIGHT(YEAR(A455),2)))</f>
      </c>
    </row>
    <row r="456" spans="1:10" x14ac:dyDescent="0.25">
      <c r="A456" s="10"/>
      <c r="B456" s="11"/>
      <c r="C456" s="11"/>
      <c r="D456" s="11"/>
      <c r="E456" s="12"/>
      <c r="F456" s="12"/>
      <c r="G456" s="12"/>
      <c r="H456" s="12"/>
      <c r="I456" s="13">
        <f>IF(E456="","",E456-F456-G456-H456)</f>
      </c>
      <c r="J456" s="14">
        <f>IF(A456="","",IF(A456&gt;=DATE(YEAR(A456),4,6),YEAR(A456)&amp;"-"&amp;RIGHT(YEAR(A456)+1,2),YEAR(A456)-1&amp;"-"&amp;RIGHT(YEAR(A456),2)))</f>
      </c>
    </row>
    <row r="457" spans="1:10" x14ac:dyDescent="0.25">
      <c r="A457" s="10"/>
      <c r="B457" s="11"/>
      <c r="C457" s="11"/>
      <c r="D457" s="11"/>
      <c r="E457" s="12"/>
      <c r="F457" s="12"/>
      <c r="G457" s="12"/>
      <c r="H457" s="12"/>
      <c r="I457" s="13">
        <f>IF(E457="","",E457-F457-G457-H457)</f>
      </c>
      <c r="J457" s="14">
        <f>IF(A457="","",IF(A457&gt;=DATE(YEAR(A457),4,6),YEAR(A457)&amp;"-"&amp;RIGHT(YEAR(A457)+1,2),YEAR(A457)-1&amp;"-"&amp;RIGHT(YEAR(A457),2)))</f>
      </c>
    </row>
    <row r="458" spans="1:10" x14ac:dyDescent="0.25">
      <c r="A458" s="10"/>
      <c r="B458" s="11"/>
      <c r="C458" s="11"/>
      <c r="D458" s="11"/>
      <c r="E458" s="12"/>
      <c r="F458" s="12"/>
      <c r="G458" s="12"/>
      <c r="H458" s="12"/>
      <c r="I458" s="13">
        <f>IF(E458="","",E458-F458-G458-H458)</f>
      </c>
      <c r="J458" s="14">
        <f>IF(A458="","",IF(A458&gt;=DATE(YEAR(A458),4,6),YEAR(A458)&amp;"-"&amp;RIGHT(YEAR(A458)+1,2),YEAR(A458)-1&amp;"-"&amp;RIGHT(YEAR(A458),2)))</f>
      </c>
    </row>
    <row r="459" spans="1:10" x14ac:dyDescent="0.25">
      <c r="A459" s="10"/>
      <c r="B459" s="11"/>
      <c r="C459" s="11"/>
      <c r="D459" s="11"/>
      <c r="E459" s="12"/>
      <c r="F459" s="12"/>
      <c r="G459" s="12"/>
      <c r="H459" s="12"/>
      <c r="I459" s="13">
        <f>IF(E459="","",E459-F459-G459-H459)</f>
      </c>
      <c r="J459" s="14">
        <f>IF(A459="","",IF(A459&gt;=DATE(YEAR(A459),4,6),YEAR(A459)&amp;"-"&amp;RIGHT(YEAR(A459)+1,2),YEAR(A459)-1&amp;"-"&amp;RIGHT(YEAR(A459),2)))</f>
      </c>
    </row>
    <row r="460" spans="1:10" x14ac:dyDescent="0.25">
      <c r="A460" s="10"/>
      <c r="B460" s="11"/>
      <c r="C460" s="11"/>
      <c r="D460" s="11"/>
      <c r="E460" s="12"/>
      <c r="F460" s="12"/>
      <c r="G460" s="12"/>
      <c r="H460" s="12"/>
      <c r="I460" s="13">
        <f>IF(E460="","",E460-F460-G460-H460)</f>
      </c>
      <c r="J460" s="14">
        <f>IF(A460="","",IF(A460&gt;=DATE(YEAR(A460),4,6),YEAR(A460)&amp;"-"&amp;RIGHT(YEAR(A460)+1,2),YEAR(A460)-1&amp;"-"&amp;RIGHT(YEAR(A460),2)))</f>
      </c>
    </row>
    <row r="461" spans="1:10" x14ac:dyDescent="0.25">
      <c r="A461" s="10"/>
      <c r="B461" s="11"/>
      <c r="C461" s="11"/>
      <c r="D461" s="11"/>
      <c r="E461" s="12"/>
      <c r="F461" s="12"/>
      <c r="G461" s="12"/>
      <c r="H461" s="12"/>
      <c r="I461" s="13">
        <f>IF(E461="","",E461-F461-G461-H461)</f>
      </c>
      <c r="J461" s="14">
        <f>IF(A461="","",IF(A461&gt;=DATE(YEAR(A461),4,6),YEAR(A461)&amp;"-"&amp;RIGHT(YEAR(A461)+1,2),YEAR(A461)-1&amp;"-"&amp;RIGHT(YEAR(A461),2)))</f>
      </c>
    </row>
    <row r="462" spans="1:10" x14ac:dyDescent="0.25">
      <c r="A462" s="10"/>
      <c r="B462" s="11"/>
      <c r="C462" s="11"/>
      <c r="D462" s="11"/>
      <c r="E462" s="12"/>
      <c r="F462" s="12"/>
      <c r="G462" s="12"/>
      <c r="H462" s="12"/>
      <c r="I462" s="13">
        <f>IF(E462="","",E462-F462-G462-H462)</f>
      </c>
      <c r="J462" s="14">
        <f>IF(A462="","",IF(A462&gt;=DATE(YEAR(A462),4,6),YEAR(A462)&amp;"-"&amp;RIGHT(YEAR(A462)+1,2),YEAR(A462)-1&amp;"-"&amp;RIGHT(YEAR(A462),2)))</f>
      </c>
    </row>
    <row r="463" spans="1:10" x14ac:dyDescent="0.25">
      <c r="A463" s="10"/>
      <c r="B463" s="11"/>
      <c r="C463" s="11"/>
      <c r="D463" s="11"/>
      <c r="E463" s="12"/>
      <c r="F463" s="12"/>
      <c r="G463" s="12"/>
      <c r="H463" s="12"/>
      <c r="I463" s="13">
        <f>IF(E463="","",E463-F463-G463-H463)</f>
      </c>
      <c r="J463" s="14">
        <f>IF(A463="","",IF(A463&gt;=DATE(YEAR(A463),4,6),YEAR(A463)&amp;"-"&amp;RIGHT(YEAR(A463)+1,2),YEAR(A463)-1&amp;"-"&amp;RIGHT(YEAR(A463),2)))</f>
      </c>
    </row>
    <row r="464" spans="1:10" x14ac:dyDescent="0.25">
      <c r="A464" s="10"/>
      <c r="B464" s="11"/>
      <c r="C464" s="11"/>
      <c r="D464" s="11"/>
      <c r="E464" s="12"/>
      <c r="F464" s="12"/>
      <c r="G464" s="12"/>
      <c r="H464" s="12"/>
      <c r="I464" s="13">
        <f>IF(E464="","",E464-F464-G464-H464)</f>
      </c>
      <c r="J464" s="14">
        <f>IF(A464="","",IF(A464&gt;=DATE(YEAR(A464),4,6),YEAR(A464)&amp;"-"&amp;RIGHT(YEAR(A464)+1,2),YEAR(A464)-1&amp;"-"&amp;RIGHT(YEAR(A464),2)))</f>
      </c>
    </row>
    <row r="465" spans="1:10" x14ac:dyDescent="0.25">
      <c r="A465" s="10"/>
      <c r="B465" s="11"/>
      <c r="C465" s="11"/>
      <c r="D465" s="11"/>
      <c r="E465" s="12"/>
      <c r="F465" s="12"/>
      <c r="G465" s="12"/>
      <c r="H465" s="12"/>
      <c r="I465" s="13">
        <f>IF(E465="","",E465-F465-G465-H465)</f>
      </c>
      <c r="J465" s="14">
        <f>IF(A465="","",IF(A465&gt;=DATE(YEAR(A465),4,6),YEAR(A465)&amp;"-"&amp;RIGHT(YEAR(A465)+1,2),YEAR(A465)-1&amp;"-"&amp;RIGHT(YEAR(A465),2)))</f>
      </c>
    </row>
    <row r="466" spans="1:10" x14ac:dyDescent="0.25">
      <c r="A466" s="10"/>
      <c r="B466" s="11"/>
      <c r="C466" s="11"/>
      <c r="D466" s="11"/>
      <c r="E466" s="12"/>
      <c r="F466" s="12"/>
      <c r="G466" s="12"/>
      <c r="H466" s="12"/>
      <c r="I466" s="13">
        <f>IF(E466="","",E466-F466-G466-H466)</f>
      </c>
      <c r="J466" s="14">
        <f>IF(A466="","",IF(A466&gt;=DATE(YEAR(A466),4,6),YEAR(A466)&amp;"-"&amp;RIGHT(YEAR(A466)+1,2),YEAR(A466)-1&amp;"-"&amp;RIGHT(YEAR(A466),2)))</f>
      </c>
    </row>
    <row r="467" spans="1:10" x14ac:dyDescent="0.25">
      <c r="A467" s="10"/>
      <c r="B467" s="11"/>
      <c r="C467" s="11"/>
      <c r="D467" s="11"/>
      <c r="E467" s="12"/>
      <c r="F467" s="12"/>
      <c r="G467" s="12"/>
      <c r="H467" s="12"/>
      <c r="I467" s="13">
        <f>IF(E467="","",E467-F467-G467-H467)</f>
      </c>
      <c r="J467" s="14">
        <f>IF(A467="","",IF(A467&gt;=DATE(YEAR(A467),4,6),YEAR(A467)&amp;"-"&amp;RIGHT(YEAR(A467)+1,2),YEAR(A467)-1&amp;"-"&amp;RIGHT(YEAR(A467),2)))</f>
      </c>
    </row>
    <row r="468" spans="1:10" x14ac:dyDescent="0.25">
      <c r="A468" s="10"/>
      <c r="B468" s="11"/>
      <c r="C468" s="11"/>
      <c r="D468" s="11"/>
      <c r="E468" s="12"/>
      <c r="F468" s="12"/>
      <c r="G468" s="12"/>
      <c r="H468" s="12"/>
      <c r="I468" s="13">
        <f>IF(E468="","",E468-F468-G468-H468)</f>
      </c>
      <c r="J468" s="14">
        <f>IF(A468="","",IF(A468&gt;=DATE(YEAR(A468),4,6),YEAR(A468)&amp;"-"&amp;RIGHT(YEAR(A468)+1,2),YEAR(A468)-1&amp;"-"&amp;RIGHT(YEAR(A468),2)))</f>
      </c>
    </row>
    <row r="469" spans="1:10" x14ac:dyDescent="0.25">
      <c r="A469" s="10"/>
      <c r="B469" s="11"/>
      <c r="C469" s="11"/>
      <c r="D469" s="11"/>
      <c r="E469" s="12"/>
      <c r="F469" s="12"/>
      <c r="G469" s="12"/>
      <c r="H469" s="12"/>
      <c r="I469" s="13">
        <f>IF(E469="","",E469-F469-G469-H469)</f>
      </c>
      <c r="J469" s="14">
        <f>IF(A469="","",IF(A469&gt;=DATE(YEAR(A469),4,6),YEAR(A469)&amp;"-"&amp;RIGHT(YEAR(A469)+1,2),YEAR(A469)-1&amp;"-"&amp;RIGHT(YEAR(A469),2)))</f>
      </c>
    </row>
    <row r="470" spans="1:10" x14ac:dyDescent="0.25">
      <c r="A470" s="10"/>
      <c r="B470" s="11"/>
      <c r="C470" s="11"/>
      <c r="D470" s="11"/>
      <c r="E470" s="12"/>
      <c r="F470" s="12"/>
      <c r="G470" s="12"/>
      <c r="H470" s="12"/>
      <c r="I470" s="13">
        <f>IF(E470="","",E470-F470-G470-H470)</f>
      </c>
      <c r="J470" s="14">
        <f>IF(A470="","",IF(A470&gt;=DATE(YEAR(A470),4,6),YEAR(A470)&amp;"-"&amp;RIGHT(YEAR(A470)+1,2),YEAR(A470)-1&amp;"-"&amp;RIGHT(YEAR(A470),2)))</f>
      </c>
    </row>
    <row r="471" spans="1:10" x14ac:dyDescent="0.25">
      <c r="A471" s="10"/>
      <c r="B471" s="11"/>
      <c r="C471" s="11"/>
      <c r="D471" s="11"/>
      <c r="E471" s="12"/>
      <c r="F471" s="12"/>
      <c r="G471" s="12"/>
      <c r="H471" s="12"/>
      <c r="I471" s="13">
        <f>IF(E471="","",E471-F471-G471-H471)</f>
      </c>
      <c r="J471" s="14">
        <f>IF(A471="","",IF(A471&gt;=DATE(YEAR(A471),4,6),YEAR(A471)&amp;"-"&amp;RIGHT(YEAR(A471)+1,2),YEAR(A471)-1&amp;"-"&amp;RIGHT(YEAR(A471),2)))</f>
      </c>
    </row>
    <row r="472" spans="1:10" x14ac:dyDescent="0.25">
      <c r="A472" s="10"/>
      <c r="B472" s="11"/>
      <c r="C472" s="11"/>
      <c r="D472" s="11"/>
      <c r="E472" s="12"/>
      <c r="F472" s="12"/>
      <c r="G472" s="12"/>
      <c r="H472" s="12"/>
      <c r="I472" s="13">
        <f>IF(E472="","",E472-F472-G472-H472)</f>
      </c>
      <c r="J472" s="14">
        <f>IF(A472="","",IF(A472&gt;=DATE(YEAR(A472),4,6),YEAR(A472)&amp;"-"&amp;RIGHT(YEAR(A472)+1,2),YEAR(A472)-1&amp;"-"&amp;RIGHT(YEAR(A472),2)))</f>
      </c>
    </row>
    <row r="473" spans="1:10" x14ac:dyDescent="0.25">
      <c r="A473" s="10"/>
      <c r="B473" s="11"/>
      <c r="C473" s="11"/>
      <c r="D473" s="11"/>
      <c r="E473" s="12"/>
      <c r="F473" s="12"/>
      <c r="G473" s="12"/>
      <c r="H473" s="12"/>
      <c r="I473" s="13">
        <f>IF(E473="","",E473-F473-G473-H473)</f>
      </c>
      <c r="J473" s="14">
        <f>IF(A473="","",IF(A473&gt;=DATE(YEAR(A473),4,6),YEAR(A473)&amp;"-"&amp;RIGHT(YEAR(A473)+1,2),YEAR(A473)-1&amp;"-"&amp;RIGHT(YEAR(A473),2)))</f>
      </c>
    </row>
    <row r="474" spans="1:10" x14ac:dyDescent="0.25">
      <c r="A474" s="10"/>
      <c r="B474" s="11"/>
      <c r="C474" s="11"/>
      <c r="D474" s="11"/>
      <c r="E474" s="12"/>
      <c r="F474" s="12"/>
      <c r="G474" s="12"/>
      <c r="H474" s="12"/>
      <c r="I474" s="13">
        <f>IF(E474="","",E474-F474-G474-H474)</f>
      </c>
      <c r="J474" s="14">
        <f>IF(A474="","",IF(A474&gt;=DATE(YEAR(A474),4,6),YEAR(A474)&amp;"-"&amp;RIGHT(YEAR(A474)+1,2),YEAR(A474)-1&amp;"-"&amp;RIGHT(YEAR(A474),2)))</f>
      </c>
    </row>
    <row r="475" spans="1:10" x14ac:dyDescent="0.25">
      <c r="A475" s="10"/>
      <c r="B475" s="11"/>
      <c r="C475" s="11"/>
      <c r="D475" s="11"/>
      <c r="E475" s="12"/>
      <c r="F475" s="12"/>
      <c r="G475" s="12"/>
      <c r="H475" s="12"/>
      <c r="I475" s="13">
        <f>IF(E475="","",E475-F475-G475-H475)</f>
      </c>
      <c r="J475" s="14">
        <f>IF(A475="","",IF(A475&gt;=DATE(YEAR(A475),4,6),YEAR(A475)&amp;"-"&amp;RIGHT(YEAR(A475)+1,2),YEAR(A475)-1&amp;"-"&amp;RIGHT(YEAR(A475),2)))</f>
      </c>
    </row>
    <row r="476" spans="1:10" x14ac:dyDescent="0.25">
      <c r="A476" s="10"/>
      <c r="B476" s="11"/>
      <c r="C476" s="11"/>
      <c r="D476" s="11"/>
      <c r="E476" s="12"/>
      <c r="F476" s="12"/>
      <c r="G476" s="12"/>
      <c r="H476" s="12"/>
      <c r="I476" s="13">
        <f>IF(E476="","",E476-F476-G476-H476)</f>
      </c>
      <c r="J476" s="14">
        <f>IF(A476="","",IF(A476&gt;=DATE(YEAR(A476),4,6),YEAR(A476)&amp;"-"&amp;RIGHT(YEAR(A476)+1,2),YEAR(A476)-1&amp;"-"&amp;RIGHT(YEAR(A476),2)))</f>
      </c>
    </row>
    <row r="477" spans="1:10" x14ac:dyDescent="0.25">
      <c r="A477" s="10"/>
      <c r="B477" s="11"/>
      <c r="C477" s="11"/>
      <c r="D477" s="11"/>
      <c r="E477" s="12"/>
      <c r="F477" s="12"/>
      <c r="G477" s="12"/>
      <c r="H477" s="12"/>
      <c r="I477" s="13">
        <f>IF(E477="","",E477-F477-G477-H477)</f>
      </c>
      <c r="J477" s="14">
        <f>IF(A477="","",IF(A477&gt;=DATE(YEAR(A477),4,6),YEAR(A477)&amp;"-"&amp;RIGHT(YEAR(A477)+1,2),YEAR(A477)-1&amp;"-"&amp;RIGHT(YEAR(A477),2)))</f>
      </c>
    </row>
    <row r="478" spans="1:10" x14ac:dyDescent="0.25">
      <c r="A478" s="10"/>
      <c r="B478" s="11"/>
      <c r="C478" s="11"/>
      <c r="D478" s="11"/>
      <c r="E478" s="12"/>
      <c r="F478" s="12"/>
      <c r="G478" s="12"/>
      <c r="H478" s="12"/>
      <c r="I478" s="13">
        <f>IF(E478="","",E478-F478-G478-H478)</f>
      </c>
      <c r="J478" s="14">
        <f>IF(A478="","",IF(A478&gt;=DATE(YEAR(A478),4,6),YEAR(A478)&amp;"-"&amp;RIGHT(YEAR(A478)+1,2),YEAR(A478)-1&amp;"-"&amp;RIGHT(YEAR(A478),2)))</f>
      </c>
    </row>
    <row r="479" spans="1:10" x14ac:dyDescent="0.25">
      <c r="A479" s="10"/>
      <c r="B479" s="11"/>
      <c r="C479" s="11"/>
      <c r="D479" s="11"/>
      <c r="E479" s="12"/>
      <c r="F479" s="12"/>
      <c r="G479" s="12"/>
      <c r="H479" s="12"/>
      <c r="I479" s="13">
        <f>IF(E479="","",E479-F479-G479-H479)</f>
      </c>
      <c r="J479" s="14">
        <f>IF(A479="","",IF(A479&gt;=DATE(YEAR(A479),4,6),YEAR(A479)&amp;"-"&amp;RIGHT(YEAR(A479)+1,2),YEAR(A479)-1&amp;"-"&amp;RIGHT(YEAR(A479),2)))</f>
      </c>
    </row>
    <row r="480" spans="1:10" x14ac:dyDescent="0.25">
      <c r="A480" s="10"/>
      <c r="B480" s="11"/>
      <c r="C480" s="11"/>
      <c r="D480" s="11"/>
      <c r="E480" s="12"/>
      <c r="F480" s="12"/>
      <c r="G480" s="12"/>
      <c r="H480" s="12"/>
      <c r="I480" s="13">
        <f>IF(E480="","",E480-F480-G480-H480)</f>
      </c>
      <c r="J480" s="14">
        <f>IF(A480="","",IF(A480&gt;=DATE(YEAR(A480),4,6),YEAR(A480)&amp;"-"&amp;RIGHT(YEAR(A480)+1,2),YEAR(A480)-1&amp;"-"&amp;RIGHT(YEAR(A480),2)))</f>
      </c>
    </row>
    <row r="481" spans="1:10" x14ac:dyDescent="0.25">
      <c r="A481" s="10"/>
      <c r="B481" s="11"/>
      <c r="C481" s="11"/>
      <c r="D481" s="11"/>
      <c r="E481" s="12"/>
      <c r="F481" s="12"/>
      <c r="G481" s="12"/>
      <c r="H481" s="12"/>
      <c r="I481" s="13">
        <f>IF(E481="","",E481-F481-G481-H481)</f>
      </c>
      <c r="J481" s="14">
        <f>IF(A481="","",IF(A481&gt;=DATE(YEAR(A481),4,6),YEAR(A481)&amp;"-"&amp;RIGHT(YEAR(A481)+1,2),YEAR(A481)-1&amp;"-"&amp;RIGHT(YEAR(A481),2)))</f>
      </c>
    </row>
    <row r="482" spans="1:10" x14ac:dyDescent="0.25">
      <c r="A482" s="10"/>
      <c r="B482" s="11"/>
      <c r="C482" s="11"/>
      <c r="D482" s="11"/>
      <c r="E482" s="12"/>
      <c r="F482" s="12"/>
      <c r="G482" s="12"/>
      <c r="H482" s="12"/>
      <c r="I482" s="13">
        <f>IF(E482="","",E482-F482-G482-H482)</f>
      </c>
      <c r="J482" s="14">
        <f>IF(A482="","",IF(A482&gt;=DATE(YEAR(A482),4,6),YEAR(A482)&amp;"-"&amp;RIGHT(YEAR(A482)+1,2),YEAR(A482)-1&amp;"-"&amp;RIGHT(YEAR(A482),2)))</f>
      </c>
    </row>
    <row r="483" spans="1:10" x14ac:dyDescent="0.25">
      <c r="A483" s="10"/>
      <c r="B483" s="11"/>
      <c r="C483" s="11"/>
      <c r="D483" s="11"/>
      <c r="E483" s="12"/>
      <c r="F483" s="12"/>
      <c r="G483" s="12"/>
      <c r="H483" s="12"/>
      <c r="I483" s="13">
        <f>IF(E483="","",E483-F483-G483-H483)</f>
      </c>
      <c r="J483" s="14">
        <f>IF(A483="","",IF(A483&gt;=DATE(YEAR(A483),4,6),YEAR(A483)&amp;"-"&amp;RIGHT(YEAR(A483)+1,2),YEAR(A483)-1&amp;"-"&amp;RIGHT(YEAR(A483),2)))</f>
      </c>
    </row>
    <row r="484" spans="1:10" x14ac:dyDescent="0.25">
      <c r="A484" s="10"/>
      <c r="B484" s="11"/>
      <c r="C484" s="11"/>
      <c r="D484" s="11"/>
      <c r="E484" s="12"/>
      <c r="F484" s="12"/>
      <c r="G484" s="12"/>
      <c r="H484" s="12"/>
      <c r="I484" s="13">
        <f>IF(E484="","",E484-F484-G484-H484)</f>
      </c>
      <c r="J484" s="14">
        <f>IF(A484="","",IF(A484&gt;=DATE(YEAR(A484),4,6),YEAR(A484)&amp;"-"&amp;RIGHT(YEAR(A484)+1,2),YEAR(A484)-1&amp;"-"&amp;RIGHT(YEAR(A484),2)))</f>
      </c>
    </row>
    <row r="485" spans="1:10" x14ac:dyDescent="0.25">
      <c r="A485" s="10"/>
      <c r="B485" s="11"/>
      <c r="C485" s="11"/>
      <c r="D485" s="11"/>
      <c r="E485" s="12"/>
      <c r="F485" s="12"/>
      <c r="G485" s="12"/>
      <c r="H485" s="12"/>
      <c r="I485" s="13">
        <f>IF(E485="","",E485-F485-G485-H485)</f>
      </c>
      <c r="J485" s="14">
        <f>IF(A485="","",IF(A485&gt;=DATE(YEAR(A485),4,6),YEAR(A485)&amp;"-"&amp;RIGHT(YEAR(A485)+1,2),YEAR(A485)-1&amp;"-"&amp;RIGHT(YEAR(A485),2)))</f>
      </c>
    </row>
    <row r="486" spans="1:10" x14ac:dyDescent="0.25">
      <c r="A486" s="10"/>
      <c r="B486" s="11"/>
      <c r="C486" s="11"/>
      <c r="D486" s="11"/>
      <c r="E486" s="12"/>
      <c r="F486" s="12"/>
      <c r="G486" s="12"/>
      <c r="H486" s="12"/>
      <c r="I486" s="13">
        <f>IF(E486="","",E486-F486-G486-H486)</f>
      </c>
      <c r="J486" s="14">
        <f>IF(A486="","",IF(A486&gt;=DATE(YEAR(A486),4,6),YEAR(A486)&amp;"-"&amp;RIGHT(YEAR(A486)+1,2),YEAR(A486)-1&amp;"-"&amp;RIGHT(YEAR(A486),2)))</f>
      </c>
    </row>
    <row r="487" spans="1:10" x14ac:dyDescent="0.25">
      <c r="A487" s="10"/>
      <c r="B487" s="11"/>
      <c r="C487" s="11"/>
      <c r="D487" s="11"/>
      <c r="E487" s="12"/>
      <c r="F487" s="12"/>
      <c r="G487" s="12"/>
      <c r="H487" s="12"/>
      <c r="I487" s="13">
        <f>IF(E487="","",E487-F487-G487-H487)</f>
      </c>
      <c r="J487" s="14">
        <f>IF(A487="","",IF(A487&gt;=DATE(YEAR(A487),4,6),YEAR(A487)&amp;"-"&amp;RIGHT(YEAR(A487)+1,2),YEAR(A487)-1&amp;"-"&amp;RIGHT(YEAR(A487),2)))</f>
      </c>
    </row>
    <row r="488" spans="1:10" x14ac:dyDescent="0.25">
      <c r="A488" s="10"/>
      <c r="B488" s="11"/>
      <c r="C488" s="11"/>
      <c r="D488" s="11"/>
      <c r="E488" s="12"/>
      <c r="F488" s="12"/>
      <c r="G488" s="12"/>
      <c r="H488" s="12"/>
      <c r="I488" s="13">
        <f>IF(E488="","",E488-F488-G488-H488)</f>
      </c>
      <c r="J488" s="14">
        <f>IF(A488="","",IF(A488&gt;=DATE(YEAR(A488),4,6),YEAR(A488)&amp;"-"&amp;RIGHT(YEAR(A488)+1,2),YEAR(A488)-1&amp;"-"&amp;RIGHT(YEAR(A488),2)))</f>
      </c>
    </row>
    <row r="489" spans="1:10" x14ac:dyDescent="0.25">
      <c r="A489" s="10"/>
      <c r="B489" s="11"/>
      <c r="C489" s="11"/>
      <c r="D489" s="11"/>
      <c r="E489" s="12"/>
      <c r="F489" s="12"/>
      <c r="G489" s="12"/>
      <c r="H489" s="12"/>
      <c r="I489" s="13">
        <f>IF(E489="","",E489-F489-G489-H489)</f>
      </c>
      <c r="J489" s="14">
        <f>IF(A489="","",IF(A489&gt;=DATE(YEAR(A489),4,6),YEAR(A489)&amp;"-"&amp;RIGHT(YEAR(A489)+1,2),YEAR(A489)-1&amp;"-"&amp;RIGHT(YEAR(A489),2)))</f>
      </c>
    </row>
    <row r="490" spans="1:10" x14ac:dyDescent="0.25">
      <c r="A490" s="10"/>
      <c r="B490" s="11"/>
      <c r="C490" s="11"/>
      <c r="D490" s="11"/>
      <c r="E490" s="12"/>
      <c r="F490" s="12"/>
      <c r="G490" s="12"/>
      <c r="H490" s="12"/>
      <c r="I490" s="13">
        <f>IF(E490="","",E490-F490-G490-H490)</f>
      </c>
      <c r="J490" s="14">
        <f>IF(A490="","",IF(A490&gt;=DATE(YEAR(A490),4,6),YEAR(A490)&amp;"-"&amp;RIGHT(YEAR(A490)+1,2),YEAR(A490)-1&amp;"-"&amp;RIGHT(YEAR(A490),2)))</f>
      </c>
    </row>
    <row r="491" spans="1:10" x14ac:dyDescent="0.25">
      <c r="A491" s="10"/>
      <c r="B491" s="11"/>
      <c r="C491" s="11"/>
      <c r="D491" s="11"/>
      <c r="E491" s="12"/>
      <c r="F491" s="12"/>
      <c r="G491" s="12"/>
      <c r="H491" s="12"/>
      <c r="I491" s="13">
        <f>IF(E491="","",E491-F491-G491-H491)</f>
      </c>
      <c r="J491" s="14">
        <f>IF(A491="","",IF(A491&gt;=DATE(YEAR(A491),4,6),YEAR(A491)&amp;"-"&amp;RIGHT(YEAR(A491)+1,2),YEAR(A491)-1&amp;"-"&amp;RIGHT(YEAR(A491),2)))</f>
      </c>
    </row>
    <row r="492" spans="1:10" x14ac:dyDescent="0.25">
      <c r="A492" s="10"/>
      <c r="B492" s="11"/>
      <c r="C492" s="11"/>
      <c r="D492" s="11"/>
      <c r="E492" s="12"/>
      <c r="F492" s="12"/>
      <c r="G492" s="12"/>
      <c r="H492" s="12"/>
      <c r="I492" s="13">
        <f>IF(E492="","",E492-F492-G492-H492)</f>
      </c>
      <c r="J492" s="14">
        <f>IF(A492="","",IF(A492&gt;=DATE(YEAR(A492),4,6),YEAR(A492)&amp;"-"&amp;RIGHT(YEAR(A492)+1,2),YEAR(A492)-1&amp;"-"&amp;RIGHT(YEAR(A492),2)))</f>
      </c>
    </row>
    <row r="493" spans="1:10" x14ac:dyDescent="0.25">
      <c r="A493" s="10"/>
      <c r="B493" s="11"/>
      <c r="C493" s="11"/>
      <c r="D493" s="11"/>
      <c r="E493" s="12"/>
      <c r="F493" s="12"/>
      <c r="G493" s="12"/>
      <c r="H493" s="12"/>
      <c r="I493" s="13">
        <f>IF(E493="","",E493-F493-G493-H493)</f>
      </c>
      <c r="J493" s="14">
        <f>IF(A493="","",IF(A493&gt;=DATE(YEAR(A493),4,6),YEAR(A493)&amp;"-"&amp;RIGHT(YEAR(A493)+1,2),YEAR(A493)-1&amp;"-"&amp;RIGHT(YEAR(A493),2)))</f>
      </c>
    </row>
    <row r="494" spans="1:10" x14ac:dyDescent="0.25">
      <c r="A494" s="10"/>
      <c r="B494" s="11"/>
      <c r="C494" s="11"/>
      <c r="D494" s="11"/>
      <c r="E494" s="12"/>
      <c r="F494" s="12"/>
      <c r="G494" s="12"/>
      <c r="H494" s="12"/>
      <c r="I494" s="13">
        <f>IF(E494="","",E494-F494-G494-H494)</f>
      </c>
      <c r="J494" s="14">
        <f>IF(A494="","",IF(A494&gt;=DATE(YEAR(A494),4,6),YEAR(A494)&amp;"-"&amp;RIGHT(YEAR(A494)+1,2),YEAR(A494)-1&amp;"-"&amp;RIGHT(YEAR(A494),2)))</f>
      </c>
    </row>
    <row r="495" spans="1:10" x14ac:dyDescent="0.25">
      <c r="A495" s="10"/>
      <c r="B495" s="11"/>
      <c r="C495" s="11"/>
      <c r="D495" s="11"/>
      <c r="E495" s="12"/>
      <c r="F495" s="12"/>
      <c r="G495" s="12"/>
      <c r="H495" s="12"/>
      <c r="I495" s="13">
        <f>IF(E495="","",E495-F495-G495-H495)</f>
      </c>
      <c r="J495" s="14">
        <f>IF(A495="","",IF(A495&gt;=DATE(YEAR(A495),4,6),YEAR(A495)&amp;"-"&amp;RIGHT(YEAR(A495)+1,2),YEAR(A495)-1&amp;"-"&amp;RIGHT(YEAR(A495),2)))</f>
      </c>
    </row>
    <row r="496" spans="1:10" x14ac:dyDescent="0.25">
      <c r="A496" s="10"/>
      <c r="B496" s="11"/>
      <c r="C496" s="11"/>
      <c r="D496" s="11"/>
      <c r="E496" s="12"/>
      <c r="F496" s="12"/>
      <c r="G496" s="12"/>
      <c r="H496" s="12"/>
      <c r="I496" s="13">
        <f>IF(E496="","",E496-F496-G496-H496)</f>
      </c>
      <c r="J496" s="14">
        <f>IF(A496="","",IF(A496&gt;=DATE(YEAR(A496),4,6),YEAR(A496)&amp;"-"&amp;RIGHT(YEAR(A496)+1,2),YEAR(A496)-1&amp;"-"&amp;RIGHT(YEAR(A496),2)))</f>
      </c>
    </row>
    <row r="497" spans="1:10" x14ac:dyDescent="0.25">
      <c r="A497" s="10"/>
      <c r="B497" s="11"/>
      <c r="C497" s="11"/>
      <c r="D497" s="11"/>
      <c r="E497" s="12"/>
      <c r="F497" s="12"/>
      <c r="G497" s="12"/>
      <c r="H497" s="12"/>
      <c r="I497" s="13">
        <f>IF(E497="","",E497-F497-G497-H497)</f>
      </c>
      <c r="J497" s="14">
        <f>IF(A497="","",IF(A497&gt;=DATE(YEAR(A497),4,6),YEAR(A497)&amp;"-"&amp;RIGHT(YEAR(A497)+1,2),YEAR(A497)-1&amp;"-"&amp;RIGHT(YEAR(A497),2)))</f>
      </c>
    </row>
    <row r="498" spans="1:10" x14ac:dyDescent="0.25">
      <c r="A498" s="10"/>
      <c r="B498" s="11"/>
      <c r="C498" s="11"/>
      <c r="D498" s="11"/>
      <c r="E498" s="12"/>
      <c r="F498" s="12"/>
      <c r="G498" s="12"/>
      <c r="H498" s="12"/>
      <c r="I498" s="13">
        <f>IF(E498="","",E498-F498-G498-H498)</f>
      </c>
      <c r="J498" s="14">
        <f>IF(A498="","",IF(A498&gt;=DATE(YEAR(A498),4,6),YEAR(A498)&amp;"-"&amp;RIGHT(YEAR(A498)+1,2),YEAR(A498)-1&amp;"-"&amp;RIGHT(YEAR(A498),2)))</f>
      </c>
    </row>
    <row r="499" spans="1:10" x14ac:dyDescent="0.25">
      <c r="A499" s="10"/>
      <c r="B499" s="11"/>
      <c r="C499" s="11"/>
      <c r="D499" s="11"/>
      <c r="E499" s="12"/>
      <c r="F499" s="12"/>
      <c r="G499" s="12"/>
      <c r="H499" s="12"/>
      <c r="I499" s="13">
        <f>IF(E499="","",E499-F499-G499-H499)</f>
      </c>
      <c r="J499" s="14">
        <f>IF(A499="","",IF(A499&gt;=DATE(YEAR(A499),4,6),YEAR(A499)&amp;"-"&amp;RIGHT(YEAR(A499)+1,2),YEAR(A499)-1&amp;"-"&amp;RIGHT(YEAR(A499),2)))</f>
      </c>
    </row>
    <row r="500" spans="1:10" x14ac:dyDescent="0.25">
      <c r="A500" s="10"/>
      <c r="B500" s="11"/>
      <c r="C500" s="11"/>
      <c r="D500" s="11"/>
      <c r="E500" s="12"/>
      <c r="F500" s="12"/>
      <c r="G500" s="12"/>
      <c r="H500" s="12"/>
      <c r="I500" s="13">
        <f>IF(E500="","",E500-F500-G500-H500)</f>
      </c>
      <c r="J500" s="14">
        <f>IF(A500="","",IF(A500&gt;=DATE(YEAR(A500),4,6),YEAR(A500)&amp;"-"&amp;RIGHT(YEAR(A500)+1,2),YEAR(A500)-1&amp;"-"&amp;RIGHT(YEAR(A500),2)))</f>
      </c>
    </row>
    <row r="501" spans="1:10" x14ac:dyDescent="0.25">
      <c r="A501" s="10"/>
      <c r="B501" s="11"/>
      <c r="C501" s="11"/>
      <c r="D501" s="11"/>
      <c r="E501" s="12"/>
      <c r="F501" s="12"/>
      <c r="G501" s="12"/>
      <c r="H501" s="12"/>
      <c r="I501" s="13">
        <f>IF(E501="","",E501-F501-G501-H501)</f>
      </c>
      <c r="J501" s="14">
        <f>IF(A501="","",IF(A501&gt;=DATE(YEAR(A501),4,6),YEAR(A501)&amp;"-"&amp;RIGHT(YEAR(A501)+1,2),YEAR(A501)-1&amp;"-"&amp;RIGHT(YEAR(A501),2)))</f>
      </c>
    </row>
  </sheetData>
  <autoFilter ref="A1:J1"/>
  <dataValidations count="4">
    <dataValidation type="date" operator="greaterThan" allowBlank="1" sqref="A10:A501">
      <formula1>36526</formula1>
    </dataValidation>
    <dataValidation type="date" operator="greaterThan" allowBlank="1" sqref="A2:A501">
      <formula1>36526</formula1>
    </dataValidation>
    <dataValidation type="list" allowBlank="1" sqref="B10:B501">
      <formula1>"eBay,Amazon,Vinted,Facebook,Depop,Etsy,Whatnot,TikTok Shop,Own site,Other"</formula1>
    </dataValidation>
    <dataValidation type="list" allowBlank="1" sqref="B2:B501">
      <formula1>"eBay,Amazon,Vinted,Facebook,Depop,Etsy,Whatnot,TikTok Shop,Own site,Other"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22" customWidth="1"/>
    <col min="3" max="3" width="34" customWidth="1"/>
    <col min="4" max="4" width="18" customWidth="1"/>
    <col min="5" max="5" width="12" style="6" customWidth="1"/>
    <col min="6" max="6" width="12" customWidth="1"/>
    <col min="7" max="7" width="11" customWidth="1"/>
  </cols>
  <sheetData>
    <row r="1" ht="30" customHeight="1" spans="1:7" s="7" customFormat="1" x14ac:dyDescent="0.25">
      <c r="A1" s="8" t="s">
        <v>18</v>
      </c>
      <c r="B1" s="7" t="s">
        <v>19</v>
      </c>
      <c r="C1" s="7" t="s">
        <v>20</v>
      </c>
      <c r="D1" s="7" t="s">
        <v>21</v>
      </c>
      <c r="E1" s="9" t="s">
        <v>22</v>
      </c>
      <c r="F1" s="7" t="s">
        <v>23</v>
      </c>
      <c r="G1" s="7" t="s">
        <v>17</v>
      </c>
    </row>
    <row r="2" spans="1:7" x14ac:dyDescent="0.25">
      <c r="A2" s="10"/>
      <c r="B2" s="11"/>
      <c r="C2" s="11"/>
      <c r="D2" s="11"/>
      <c r="E2" s="12"/>
      <c r="F2" s="11"/>
      <c r="G2" s="14">
        <f>IF(A2="","",IF(A2&gt;=DATE(YEAR(A2),4,6),YEAR(A2)&amp;"-"&amp;RIGHT(YEAR(A2)+1,2),YEAR(A2)-1&amp;"-"&amp;RIGHT(YEAR(A2),2)))</f>
      </c>
    </row>
    <row r="3" spans="1:7" x14ac:dyDescent="0.25">
      <c r="A3" s="10"/>
      <c r="B3" s="11"/>
      <c r="C3" s="11"/>
      <c r="D3" s="11"/>
      <c r="E3" s="12"/>
      <c r="F3" s="11"/>
      <c r="G3" s="14">
        <f>IF(A3="","",IF(A3&gt;=DATE(YEAR(A3),4,6),YEAR(A3)&amp;"-"&amp;RIGHT(YEAR(A3)+1,2),YEAR(A3)-1&amp;"-"&amp;RIGHT(YEAR(A3),2)))</f>
      </c>
    </row>
    <row r="4" spans="1:7" x14ac:dyDescent="0.25">
      <c r="A4" s="10"/>
      <c r="B4" s="11"/>
      <c r="C4" s="11"/>
      <c r="D4" s="11"/>
      <c r="E4" s="12"/>
      <c r="F4" s="11"/>
      <c r="G4" s="14">
        <f>IF(A4="","",IF(A4&gt;=DATE(YEAR(A4),4,6),YEAR(A4)&amp;"-"&amp;RIGHT(YEAR(A4)+1,2),YEAR(A4)-1&amp;"-"&amp;RIGHT(YEAR(A4),2)))</f>
      </c>
    </row>
    <row r="5" spans="1:7" x14ac:dyDescent="0.25">
      <c r="A5" s="10"/>
      <c r="B5" s="11"/>
      <c r="C5" s="11"/>
      <c r="D5" s="11"/>
      <c r="E5" s="12"/>
      <c r="F5" s="11"/>
      <c r="G5" s="14">
        <f>IF(A5="","",IF(A5&gt;=DATE(YEAR(A5),4,6),YEAR(A5)&amp;"-"&amp;RIGHT(YEAR(A5)+1,2),YEAR(A5)-1&amp;"-"&amp;RIGHT(YEAR(A5),2)))</f>
      </c>
    </row>
    <row r="6" spans="1:7" x14ac:dyDescent="0.25">
      <c r="A6" s="10"/>
      <c r="B6" s="11"/>
      <c r="C6" s="11"/>
      <c r="D6" s="11"/>
      <c r="E6" s="12"/>
      <c r="F6" s="11"/>
      <c r="G6" s="14">
        <f>IF(A6="","",IF(A6&gt;=DATE(YEAR(A6),4,6),YEAR(A6)&amp;"-"&amp;RIGHT(YEAR(A6)+1,2),YEAR(A6)-1&amp;"-"&amp;RIGHT(YEAR(A6),2)))</f>
      </c>
    </row>
    <row r="7" spans="1:7" x14ac:dyDescent="0.25">
      <c r="A7" s="10"/>
      <c r="B7" s="11"/>
      <c r="C7" s="11"/>
      <c r="D7" s="11"/>
      <c r="E7" s="12"/>
      <c r="F7" s="11"/>
      <c r="G7" s="14">
        <f>IF(A7="","",IF(A7&gt;=DATE(YEAR(A7),4,6),YEAR(A7)&amp;"-"&amp;RIGHT(YEAR(A7)+1,2),YEAR(A7)-1&amp;"-"&amp;RIGHT(YEAR(A7),2)))</f>
      </c>
    </row>
    <row r="8" spans="1:7" x14ac:dyDescent="0.25">
      <c r="A8" s="10"/>
      <c r="B8" s="11"/>
      <c r="C8" s="11"/>
      <c r="D8" s="11"/>
      <c r="E8" s="12"/>
      <c r="F8" s="11"/>
      <c r="G8" s="14">
        <f>IF(A8="","",IF(A8&gt;=DATE(YEAR(A8),4,6),YEAR(A8)&amp;"-"&amp;RIGHT(YEAR(A8)+1,2),YEAR(A8)-1&amp;"-"&amp;RIGHT(YEAR(A8),2)))</f>
      </c>
    </row>
    <row r="9" spans="1:7" x14ac:dyDescent="0.25">
      <c r="A9" s="10"/>
      <c r="B9" s="11"/>
      <c r="C9" s="11"/>
      <c r="D9" s="11"/>
      <c r="E9" s="12"/>
      <c r="F9" s="11"/>
      <c r="G9" s="14">
        <f>IF(A9="","",IF(A9&gt;=DATE(YEAR(A9),4,6),YEAR(A9)&amp;"-"&amp;RIGHT(YEAR(A9)+1,2),YEAR(A9)-1&amp;"-"&amp;RIGHT(YEAR(A9),2)))</f>
      </c>
    </row>
    <row r="10" spans="1:7" x14ac:dyDescent="0.25">
      <c r="A10" s="10"/>
      <c r="B10" s="11"/>
      <c r="C10" s="11"/>
      <c r="D10" s="11"/>
      <c r="E10" s="12"/>
      <c r="F10" s="11"/>
      <c r="G10" s="14">
        <f>IF(A10="","",IF(A10&gt;=DATE(YEAR(A10),4,6),YEAR(A10)&amp;"-"&amp;RIGHT(YEAR(A10)+1,2),YEAR(A10)-1&amp;"-"&amp;RIGHT(YEAR(A10),2)))</f>
      </c>
    </row>
    <row r="11" spans="1:7" x14ac:dyDescent="0.25">
      <c r="A11" s="10"/>
      <c r="B11" s="11"/>
      <c r="C11" s="11"/>
      <c r="D11" s="11"/>
      <c r="E11" s="12"/>
      <c r="F11" s="11"/>
      <c r="G11" s="14">
        <f>IF(A11="","",IF(A11&gt;=DATE(YEAR(A11),4,6),YEAR(A11)&amp;"-"&amp;RIGHT(YEAR(A11)+1,2),YEAR(A11)-1&amp;"-"&amp;RIGHT(YEAR(A11),2)))</f>
      </c>
    </row>
    <row r="12" spans="1:7" x14ac:dyDescent="0.25">
      <c r="A12" s="10"/>
      <c r="B12" s="11"/>
      <c r="C12" s="11"/>
      <c r="D12" s="11"/>
      <c r="E12" s="12"/>
      <c r="F12" s="11"/>
      <c r="G12" s="14">
        <f>IF(A12="","",IF(A12&gt;=DATE(YEAR(A12),4,6),YEAR(A12)&amp;"-"&amp;RIGHT(YEAR(A12)+1,2),YEAR(A12)-1&amp;"-"&amp;RIGHT(YEAR(A12),2)))</f>
      </c>
    </row>
    <row r="13" spans="1:7" x14ac:dyDescent="0.25">
      <c r="A13" s="10"/>
      <c r="B13" s="11"/>
      <c r="C13" s="11"/>
      <c r="D13" s="11"/>
      <c r="E13" s="12"/>
      <c r="F13" s="11"/>
      <c r="G13" s="14">
        <f>IF(A13="","",IF(A13&gt;=DATE(YEAR(A13),4,6),YEAR(A13)&amp;"-"&amp;RIGHT(YEAR(A13)+1,2),YEAR(A13)-1&amp;"-"&amp;RIGHT(YEAR(A13),2)))</f>
      </c>
    </row>
    <row r="14" spans="1:7" x14ac:dyDescent="0.25">
      <c r="A14" s="10"/>
      <c r="B14" s="11"/>
      <c r="C14" s="11"/>
      <c r="D14" s="11"/>
      <c r="E14" s="12"/>
      <c r="F14" s="11"/>
      <c r="G14" s="14">
        <f>IF(A14="","",IF(A14&gt;=DATE(YEAR(A14),4,6),YEAR(A14)&amp;"-"&amp;RIGHT(YEAR(A14)+1,2),YEAR(A14)-1&amp;"-"&amp;RIGHT(YEAR(A14),2)))</f>
      </c>
    </row>
    <row r="15" spans="1:7" x14ac:dyDescent="0.25">
      <c r="A15" s="10"/>
      <c r="B15" s="11"/>
      <c r="C15" s="11"/>
      <c r="D15" s="11"/>
      <c r="E15" s="12"/>
      <c r="F15" s="11"/>
      <c r="G15" s="14">
        <f>IF(A15="","",IF(A15&gt;=DATE(YEAR(A15),4,6),YEAR(A15)&amp;"-"&amp;RIGHT(YEAR(A15)+1,2),YEAR(A15)-1&amp;"-"&amp;RIGHT(YEAR(A15),2)))</f>
      </c>
    </row>
    <row r="16" spans="1:7" x14ac:dyDescent="0.25">
      <c r="A16" s="10"/>
      <c r="B16" s="11"/>
      <c r="C16" s="11"/>
      <c r="D16" s="11"/>
      <c r="E16" s="12"/>
      <c r="F16" s="11"/>
      <c r="G16" s="14">
        <f>IF(A16="","",IF(A16&gt;=DATE(YEAR(A16),4,6),YEAR(A16)&amp;"-"&amp;RIGHT(YEAR(A16)+1,2),YEAR(A16)-1&amp;"-"&amp;RIGHT(YEAR(A16),2)))</f>
      </c>
    </row>
    <row r="17" spans="1:7" x14ac:dyDescent="0.25">
      <c r="A17" s="10"/>
      <c r="B17" s="11"/>
      <c r="C17" s="11"/>
      <c r="D17" s="11"/>
      <c r="E17" s="12"/>
      <c r="F17" s="11"/>
      <c r="G17" s="14">
        <f>IF(A17="","",IF(A17&gt;=DATE(YEAR(A17),4,6),YEAR(A17)&amp;"-"&amp;RIGHT(YEAR(A17)+1,2),YEAR(A17)-1&amp;"-"&amp;RIGHT(YEAR(A17),2)))</f>
      </c>
    </row>
    <row r="18" spans="1:7" x14ac:dyDescent="0.25">
      <c r="A18" s="10"/>
      <c r="B18" s="11"/>
      <c r="C18" s="11"/>
      <c r="D18" s="11"/>
      <c r="E18" s="12"/>
      <c r="F18" s="11"/>
      <c r="G18" s="14">
        <f>IF(A18="","",IF(A18&gt;=DATE(YEAR(A18),4,6),YEAR(A18)&amp;"-"&amp;RIGHT(YEAR(A18)+1,2),YEAR(A18)-1&amp;"-"&amp;RIGHT(YEAR(A18),2)))</f>
      </c>
    </row>
    <row r="19" spans="1:7" x14ac:dyDescent="0.25">
      <c r="A19" s="10"/>
      <c r="B19" s="11"/>
      <c r="C19" s="11"/>
      <c r="D19" s="11"/>
      <c r="E19" s="12"/>
      <c r="F19" s="11"/>
      <c r="G19" s="14">
        <f>IF(A19="","",IF(A19&gt;=DATE(YEAR(A19),4,6),YEAR(A19)&amp;"-"&amp;RIGHT(YEAR(A19)+1,2),YEAR(A19)-1&amp;"-"&amp;RIGHT(YEAR(A19),2)))</f>
      </c>
    </row>
    <row r="20" spans="1:7" x14ac:dyDescent="0.25">
      <c r="A20" s="10"/>
      <c r="B20" s="11"/>
      <c r="C20" s="11"/>
      <c r="D20" s="11"/>
      <c r="E20" s="12"/>
      <c r="F20" s="11"/>
      <c r="G20" s="14">
        <f>IF(A20="","",IF(A20&gt;=DATE(YEAR(A20),4,6),YEAR(A20)&amp;"-"&amp;RIGHT(YEAR(A20)+1,2),YEAR(A20)-1&amp;"-"&amp;RIGHT(YEAR(A20),2)))</f>
      </c>
    </row>
    <row r="21" spans="1:7" x14ac:dyDescent="0.25">
      <c r="A21" s="10"/>
      <c r="B21" s="11"/>
      <c r="C21" s="11"/>
      <c r="D21" s="11"/>
      <c r="E21" s="12"/>
      <c r="F21" s="11"/>
      <c r="G21" s="14">
        <f>IF(A21="","",IF(A21&gt;=DATE(YEAR(A21),4,6),YEAR(A21)&amp;"-"&amp;RIGHT(YEAR(A21)+1,2),YEAR(A21)-1&amp;"-"&amp;RIGHT(YEAR(A21),2)))</f>
      </c>
    </row>
    <row r="22" spans="1:7" x14ac:dyDescent="0.25">
      <c r="A22" s="10"/>
      <c r="B22" s="11"/>
      <c r="C22" s="11"/>
      <c r="D22" s="11"/>
      <c r="E22" s="12"/>
      <c r="F22" s="11"/>
      <c r="G22" s="14">
        <f>IF(A22="","",IF(A22&gt;=DATE(YEAR(A22),4,6),YEAR(A22)&amp;"-"&amp;RIGHT(YEAR(A22)+1,2),YEAR(A22)-1&amp;"-"&amp;RIGHT(YEAR(A22),2)))</f>
      </c>
    </row>
    <row r="23" spans="1:7" x14ac:dyDescent="0.25">
      <c r="A23" s="10"/>
      <c r="B23" s="11"/>
      <c r="C23" s="11"/>
      <c r="D23" s="11"/>
      <c r="E23" s="12"/>
      <c r="F23" s="11"/>
      <c r="G23" s="14">
        <f>IF(A23="","",IF(A23&gt;=DATE(YEAR(A23),4,6),YEAR(A23)&amp;"-"&amp;RIGHT(YEAR(A23)+1,2),YEAR(A23)-1&amp;"-"&amp;RIGHT(YEAR(A23),2)))</f>
      </c>
    </row>
    <row r="24" spans="1:7" x14ac:dyDescent="0.25">
      <c r="A24" s="10"/>
      <c r="B24" s="11"/>
      <c r="C24" s="11"/>
      <c r="D24" s="11"/>
      <c r="E24" s="12"/>
      <c r="F24" s="11"/>
      <c r="G24" s="14">
        <f>IF(A24="","",IF(A24&gt;=DATE(YEAR(A24),4,6),YEAR(A24)&amp;"-"&amp;RIGHT(YEAR(A24)+1,2),YEAR(A24)-1&amp;"-"&amp;RIGHT(YEAR(A24),2)))</f>
      </c>
    </row>
    <row r="25" spans="1:7" x14ac:dyDescent="0.25">
      <c r="A25" s="10"/>
      <c r="B25" s="11"/>
      <c r="C25" s="11"/>
      <c r="D25" s="11"/>
      <c r="E25" s="12"/>
      <c r="F25" s="11"/>
      <c r="G25" s="14">
        <f>IF(A25="","",IF(A25&gt;=DATE(YEAR(A25),4,6),YEAR(A25)&amp;"-"&amp;RIGHT(YEAR(A25)+1,2),YEAR(A25)-1&amp;"-"&amp;RIGHT(YEAR(A25),2)))</f>
      </c>
    </row>
    <row r="26" spans="1:7" x14ac:dyDescent="0.25">
      <c r="A26" s="10"/>
      <c r="B26" s="11"/>
      <c r="C26" s="11"/>
      <c r="D26" s="11"/>
      <c r="E26" s="12"/>
      <c r="F26" s="11"/>
      <c r="G26" s="14">
        <f>IF(A26="","",IF(A26&gt;=DATE(YEAR(A26),4,6),YEAR(A26)&amp;"-"&amp;RIGHT(YEAR(A26)+1,2),YEAR(A26)-1&amp;"-"&amp;RIGHT(YEAR(A26),2)))</f>
      </c>
    </row>
    <row r="27" spans="1:7" x14ac:dyDescent="0.25">
      <c r="A27" s="10"/>
      <c r="B27" s="11"/>
      <c r="C27" s="11"/>
      <c r="D27" s="11"/>
      <c r="E27" s="12"/>
      <c r="F27" s="11"/>
      <c r="G27" s="14">
        <f>IF(A27="","",IF(A27&gt;=DATE(YEAR(A27),4,6),YEAR(A27)&amp;"-"&amp;RIGHT(YEAR(A27)+1,2),YEAR(A27)-1&amp;"-"&amp;RIGHT(YEAR(A27),2)))</f>
      </c>
    </row>
    <row r="28" spans="1:7" x14ac:dyDescent="0.25">
      <c r="A28" s="10"/>
      <c r="B28" s="11"/>
      <c r="C28" s="11"/>
      <c r="D28" s="11"/>
      <c r="E28" s="12"/>
      <c r="F28" s="11"/>
      <c r="G28" s="14">
        <f>IF(A28="","",IF(A28&gt;=DATE(YEAR(A28),4,6),YEAR(A28)&amp;"-"&amp;RIGHT(YEAR(A28)+1,2),YEAR(A28)-1&amp;"-"&amp;RIGHT(YEAR(A28),2)))</f>
      </c>
    </row>
    <row r="29" spans="1:7" x14ac:dyDescent="0.25">
      <c r="A29" s="10"/>
      <c r="B29" s="11"/>
      <c r="C29" s="11"/>
      <c r="D29" s="11"/>
      <c r="E29" s="12"/>
      <c r="F29" s="11"/>
      <c r="G29" s="14">
        <f>IF(A29="","",IF(A29&gt;=DATE(YEAR(A29),4,6),YEAR(A29)&amp;"-"&amp;RIGHT(YEAR(A29)+1,2),YEAR(A29)-1&amp;"-"&amp;RIGHT(YEAR(A29),2)))</f>
      </c>
    </row>
    <row r="30" spans="1:7" x14ac:dyDescent="0.25">
      <c r="A30" s="10"/>
      <c r="B30" s="11"/>
      <c r="C30" s="11"/>
      <c r="D30" s="11"/>
      <c r="E30" s="12"/>
      <c r="F30" s="11"/>
      <c r="G30" s="14">
        <f>IF(A30="","",IF(A30&gt;=DATE(YEAR(A30),4,6),YEAR(A30)&amp;"-"&amp;RIGHT(YEAR(A30)+1,2),YEAR(A30)-1&amp;"-"&amp;RIGHT(YEAR(A30),2)))</f>
      </c>
    </row>
    <row r="31" spans="1:7" x14ac:dyDescent="0.25">
      <c r="A31" s="10"/>
      <c r="B31" s="11"/>
      <c r="C31" s="11"/>
      <c r="D31" s="11"/>
      <c r="E31" s="12"/>
      <c r="F31" s="11"/>
      <c r="G31" s="14">
        <f>IF(A31="","",IF(A31&gt;=DATE(YEAR(A31),4,6),YEAR(A31)&amp;"-"&amp;RIGHT(YEAR(A31)+1,2),YEAR(A31)-1&amp;"-"&amp;RIGHT(YEAR(A31),2)))</f>
      </c>
    </row>
    <row r="32" spans="1:7" x14ac:dyDescent="0.25">
      <c r="A32" s="10"/>
      <c r="B32" s="11"/>
      <c r="C32" s="11"/>
      <c r="D32" s="11"/>
      <c r="E32" s="12"/>
      <c r="F32" s="11"/>
      <c r="G32" s="14">
        <f>IF(A32="","",IF(A32&gt;=DATE(YEAR(A32),4,6),YEAR(A32)&amp;"-"&amp;RIGHT(YEAR(A32)+1,2),YEAR(A32)-1&amp;"-"&amp;RIGHT(YEAR(A32),2)))</f>
      </c>
    </row>
    <row r="33" spans="1:7" x14ac:dyDescent="0.25">
      <c r="A33" s="10"/>
      <c r="B33" s="11"/>
      <c r="C33" s="11"/>
      <c r="D33" s="11"/>
      <c r="E33" s="12"/>
      <c r="F33" s="11"/>
      <c r="G33" s="14">
        <f>IF(A33="","",IF(A33&gt;=DATE(YEAR(A33),4,6),YEAR(A33)&amp;"-"&amp;RIGHT(YEAR(A33)+1,2),YEAR(A33)-1&amp;"-"&amp;RIGHT(YEAR(A33),2)))</f>
      </c>
    </row>
    <row r="34" spans="1:7" x14ac:dyDescent="0.25">
      <c r="A34" s="10"/>
      <c r="B34" s="11"/>
      <c r="C34" s="11"/>
      <c r="D34" s="11"/>
      <c r="E34" s="12"/>
      <c r="F34" s="11"/>
      <c r="G34" s="14">
        <f>IF(A34="","",IF(A34&gt;=DATE(YEAR(A34),4,6),YEAR(A34)&amp;"-"&amp;RIGHT(YEAR(A34)+1,2),YEAR(A34)-1&amp;"-"&amp;RIGHT(YEAR(A34),2)))</f>
      </c>
    </row>
    <row r="35" spans="1:7" x14ac:dyDescent="0.25">
      <c r="A35" s="10"/>
      <c r="B35" s="11"/>
      <c r="C35" s="11"/>
      <c r="D35" s="11"/>
      <c r="E35" s="12"/>
      <c r="F35" s="11"/>
      <c r="G35" s="14">
        <f>IF(A35="","",IF(A35&gt;=DATE(YEAR(A35),4,6),YEAR(A35)&amp;"-"&amp;RIGHT(YEAR(A35)+1,2),YEAR(A35)-1&amp;"-"&amp;RIGHT(YEAR(A35),2)))</f>
      </c>
    </row>
    <row r="36" spans="1:7" x14ac:dyDescent="0.25">
      <c r="A36" s="10"/>
      <c r="B36" s="11"/>
      <c r="C36" s="11"/>
      <c r="D36" s="11"/>
      <c r="E36" s="12"/>
      <c r="F36" s="11"/>
      <c r="G36" s="14">
        <f>IF(A36="","",IF(A36&gt;=DATE(YEAR(A36),4,6),YEAR(A36)&amp;"-"&amp;RIGHT(YEAR(A36)+1,2),YEAR(A36)-1&amp;"-"&amp;RIGHT(YEAR(A36),2)))</f>
      </c>
    </row>
    <row r="37" spans="1:7" x14ac:dyDescent="0.25">
      <c r="A37" s="10"/>
      <c r="B37" s="11"/>
      <c r="C37" s="11"/>
      <c r="D37" s="11"/>
      <c r="E37" s="12"/>
      <c r="F37" s="11"/>
      <c r="G37" s="14">
        <f>IF(A37="","",IF(A37&gt;=DATE(YEAR(A37),4,6),YEAR(A37)&amp;"-"&amp;RIGHT(YEAR(A37)+1,2),YEAR(A37)-1&amp;"-"&amp;RIGHT(YEAR(A37),2)))</f>
      </c>
    </row>
    <row r="38" spans="1:7" x14ac:dyDescent="0.25">
      <c r="A38" s="10"/>
      <c r="B38" s="11"/>
      <c r="C38" s="11"/>
      <c r="D38" s="11"/>
      <c r="E38" s="12"/>
      <c r="F38" s="11"/>
      <c r="G38" s="14">
        <f>IF(A38="","",IF(A38&gt;=DATE(YEAR(A38),4,6),YEAR(A38)&amp;"-"&amp;RIGHT(YEAR(A38)+1,2),YEAR(A38)-1&amp;"-"&amp;RIGHT(YEAR(A38),2)))</f>
      </c>
    </row>
    <row r="39" spans="1:7" x14ac:dyDescent="0.25">
      <c r="A39" s="10"/>
      <c r="B39" s="11"/>
      <c r="C39" s="11"/>
      <c r="D39" s="11"/>
      <c r="E39" s="12"/>
      <c r="F39" s="11"/>
      <c r="G39" s="14">
        <f>IF(A39="","",IF(A39&gt;=DATE(YEAR(A39),4,6),YEAR(A39)&amp;"-"&amp;RIGHT(YEAR(A39)+1,2),YEAR(A39)-1&amp;"-"&amp;RIGHT(YEAR(A39),2)))</f>
      </c>
    </row>
    <row r="40" spans="1:7" x14ac:dyDescent="0.25">
      <c r="A40" s="10"/>
      <c r="B40" s="11"/>
      <c r="C40" s="11"/>
      <c r="D40" s="11"/>
      <c r="E40" s="12"/>
      <c r="F40" s="11"/>
      <c r="G40" s="14">
        <f>IF(A40="","",IF(A40&gt;=DATE(YEAR(A40),4,6),YEAR(A40)&amp;"-"&amp;RIGHT(YEAR(A40)+1,2),YEAR(A40)-1&amp;"-"&amp;RIGHT(YEAR(A40),2)))</f>
      </c>
    </row>
    <row r="41" spans="1:7" x14ac:dyDescent="0.25">
      <c r="A41" s="10"/>
      <c r="B41" s="11"/>
      <c r="C41" s="11"/>
      <c r="D41" s="11"/>
      <c r="E41" s="12"/>
      <c r="F41" s="11"/>
      <c r="G41" s="14">
        <f>IF(A41="","",IF(A41&gt;=DATE(YEAR(A41),4,6),YEAR(A41)&amp;"-"&amp;RIGHT(YEAR(A41)+1,2),YEAR(A41)-1&amp;"-"&amp;RIGHT(YEAR(A41),2)))</f>
      </c>
    </row>
    <row r="42" spans="1:7" x14ac:dyDescent="0.25">
      <c r="A42" s="10"/>
      <c r="B42" s="11"/>
      <c r="C42" s="11"/>
      <c r="D42" s="11"/>
      <c r="E42" s="12"/>
      <c r="F42" s="11"/>
      <c r="G42" s="14">
        <f>IF(A42="","",IF(A42&gt;=DATE(YEAR(A42),4,6),YEAR(A42)&amp;"-"&amp;RIGHT(YEAR(A42)+1,2),YEAR(A42)-1&amp;"-"&amp;RIGHT(YEAR(A42),2)))</f>
      </c>
    </row>
    <row r="43" spans="1:7" x14ac:dyDescent="0.25">
      <c r="A43" s="10"/>
      <c r="B43" s="11"/>
      <c r="C43" s="11"/>
      <c r="D43" s="11"/>
      <c r="E43" s="12"/>
      <c r="F43" s="11"/>
      <c r="G43" s="14">
        <f>IF(A43="","",IF(A43&gt;=DATE(YEAR(A43),4,6),YEAR(A43)&amp;"-"&amp;RIGHT(YEAR(A43)+1,2),YEAR(A43)-1&amp;"-"&amp;RIGHT(YEAR(A43),2)))</f>
      </c>
    </row>
    <row r="44" spans="1:7" x14ac:dyDescent="0.25">
      <c r="A44" s="10"/>
      <c r="B44" s="11"/>
      <c r="C44" s="11"/>
      <c r="D44" s="11"/>
      <c r="E44" s="12"/>
      <c r="F44" s="11"/>
      <c r="G44" s="14">
        <f>IF(A44="","",IF(A44&gt;=DATE(YEAR(A44),4,6),YEAR(A44)&amp;"-"&amp;RIGHT(YEAR(A44)+1,2),YEAR(A44)-1&amp;"-"&amp;RIGHT(YEAR(A44),2)))</f>
      </c>
    </row>
    <row r="45" spans="1:7" x14ac:dyDescent="0.25">
      <c r="A45" s="10"/>
      <c r="B45" s="11"/>
      <c r="C45" s="11"/>
      <c r="D45" s="11"/>
      <c r="E45" s="12"/>
      <c r="F45" s="11"/>
      <c r="G45" s="14">
        <f>IF(A45="","",IF(A45&gt;=DATE(YEAR(A45),4,6),YEAR(A45)&amp;"-"&amp;RIGHT(YEAR(A45)+1,2),YEAR(A45)-1&amp;"-"&amp;RIGHT(YEAR(A45),2)))</f>
      </c>
    </row>
    <row r="46" spans="1:7" x14ac:dyDescent="0.25">
      <c r="A46" s="10"/>
      <c r="B46" s="11"/>
      <c r="C46" s="11"/>
      <c r="D46" s="11"/>
      <c r="E46" s="12"/>
      <c r="F46" s="11"/>
      <c r="G46" s="14">
        <f>IF(A46="","",IF(A46&gt;=DATE(YEAR(A46),4,6),YEAR(A46)&amp;"-"&amp;RIGHT(YEAR(A46)+1,2),YEAR(A46)-1&amp;"-"&amp;RIGHT(YEAR(A46),2)))</f>
      </c>
    </row>
    <row r="47" spans="1:7" x14ac:dyDescent="0.25">
      <c r="A47" s="10"/>
      <c r="B47" s="11"/>
      <c r="C47" s="11"/>
      <c r="D47" s="11"/>
      <c r="E47" s="12"/>
      <c r="F47" s="11"/>
      <c r="G47" s="14">
        <f>IF(A47="","",IF(A47&gt;=DATE(YEAR(A47),4,6),YEAR(A47)&amp;"-"&amp;RIGHT(YEAR(A47)+1,2),YEAR(A47)-1&amp;"-"&amp;RIGHT(YEAR(A47),2)))</f>
      </c>
    </row>
    <row r="48" spans="1:7" x14ac:dyDescent="0.25">
      <c r="A48" s="10"/>
      <c r="B48" s="11"/>
      <c r="C48" s="11"/>
      <c r="D48" s="11"/>
      <c r="E48" s="12"/>
      <c r="F48" s="11"/>
      <c r="G48" s="14">
        <f>IF(A48="","",IF(A48&gt;=DATE(YEAR(A48),4,6),YEAR(A48)&amp;"-"&amp;RIGHT(YEAR(A48)+1,2),YEAR(A48)-1&amp;"-"&amp;RIGHT(YEAR(A48),2)))</f>
      </c>
    </row>
    <row r="49" spans="1:7" x14ac:dyDescent="0.25">
      <c r="A49" s="10"/>
      <c r="B49" s="11"/>
      <c r="C49" s="11"/>
      <c r="D49" s="11"/>
      <c r="E49" s="12"/>
      <c r="F49" s="11"/>
      <c r="G49" s="14">
        <f>IF(A49="","",IF(A49&gt;=DATE(YEAR(A49),4,6),YEAR(A49)&amp;"-"&amp;RIGHT(YEAR(A49)+1,2),YEAR(A49)-1&amp;"-"&amp;RIGHT(YEAR(A49),2)))</f>
      </c>
    </row>
    <row r="50" spans="1:7" x14ac:dyDescent="0.25">
      <c r="A50" s="10"/>
      <c r="B50" s="11"/>
      <c r="C50" s="11"/>
      <c r="D50" s="11"/>
      <c r="E50" s="12"/>
      <c r="F50" s="11"/>
      <c r="G50" s="14">
        <f>IF(A50="","",IF(A50&gt;=DATE(YEAR(A50),4,6),YEAR(A50)&amp;"-"&amp;RIGHT(YEAR(A50)+1,2),YEAR(A50)-1&amp;"-"&amp;RIGHT(YEAR(A50),2)))</f>
      </c>
    </row>
    <row r="51" spans="1:7" x14ac:dyDescent="0.25">
      <c r="A51" s="10"/>
      <c r="B51" s="11"/>
      <c r="C51" s="11"/>
      <c r="D51" s="11"/>
      <c r="E51" s="12"/>
      <c r="F51" s="11"/>
      <c r="G51" s="14">
        <f>IF(A51="","",IF(A51&gt;=DATE(YEAR(A51),4,6),YEAR(A51)&amp;"-"&amp;RIGHT(YEAR(A51)+1,2),YEAR(A51)-1&amp;"-"&amp;RIGHT(YEAR(A51),2)))</f>
      </c>
    </row>
    <row r="52" spans="1:7" x14ac:dyDescent="0.25">
      <c r="A52" s="10"/>
      <c r="B52" s="11"/>
      <c r="C52" s="11"/>
      <c r="D52" s="11"/>
      <c r="E52" s="12"/>
      <c r="F52" s="11"/>
      <c r="G52" s="14">
        <f>IF(A52="","",IF(A52&gt;=DATE(YEAR(A52),4,6),YEAR(A52)&amp;"-"&amp;RIGHT(YEAR(A52)+1,2),YEAR(A52)-1&amp;"-"&amp;RIGHT(YEAR(A52),2)))</f>
      </c>
    </row>
    <row r="53" spans="1:7" x14ac:dyDescent="0.25">
      <c r="A53" s="10"/>
      <c r="B53" s="11"/>
      <c r="C53" s="11"/>
      <c r="D53" s="11"/>
      <c r="E53" s="12"/>
      <c r="F53" s="11"/>
      <c r="G53" s="14">
        <f>IF(A53="","",IF(A53&gt;=DATE(YEAR(A53),4,6),YEAR(A53)&amp;"-"&amp;RIGHT(YEAR(A53)+1,2),YEAR(A53)-1&amp;"-"&amp;RIGHT(YEAR(A53),2)))</f>
      </c>
    </row>
    <row r="54" spans="1:7" x14ac:dyDescent="0.25">
      <c r="A54" s="10"/>
      <c r="B54" s="11"/>
      <c r="C54" s="11"/>
      <c r="D54" s="11"/>
      <c r="E54" s="12"/>
      <c r="F54" s="11"/>
      <c r="G54" s="14">
        <f>IF(A54="","",IF(A54&gt;=DATE(YEAR(A54),4,6),YEAR(A54)&amp;"-"&amp;RIGHT(YEAR(A54)+1,2),YEAR(A54)-1&amp;"-"&amp;RIGHT(YEAR(A54),2)))</f>
      </c>
    </row>
    <row r="55" spans="1:7" x14ac:dyDescent="0.25">
      <c r="A55" s="10"/>
      <c r="B55" s="11"/>
      <c r="C55" s="11"/>
      <c r="D55" s="11"/>
      <c r="E55" s="12"/>
      <c r="F55" s="11"/>
      <c r="G55" s="14">
        <f>IF(A55="","",IF(A55&gt;=DATE(YEAR(A55),4,6),YEAR(A55)&amp;"-"&amp;RIGHT(YEAR(A55)+1,2),YEAR(A55)-1&amp;"-"&amp;RIGHT(YEAR(A55),2)))</f>
      </c>
    </row>
    <row r="56" spans="1:7" x14ac:dyDescent="0.25">
      <c r="A56" s="10"/>
      <c r="B56" s="11"/>
      <c r="C56" s="11"/>
      <c r="D56" s="11"/>
      <c r="E56" s="12"/>
      <c r="F56" s="11"/>
      <c r="G56" s="14">
        <f>IF(A56="","",IF(A56&gt;=DATE(YEAR(A56),4,6),YEAR(A56)&amp;"-"&amp;RIGHT(YEAR(A56)+1,2),YEAR(A56)-1&amp;"-"&amp;RIGHT(YEAR(A56),2)))</f>
      </c>
    </row>
    <row r="57" spans="1:7" x14ac:dyDescent="0.25">
      <c r="A57" s="10"/>
      <c r="B57" s="11"/>
      <c r="C57" s="11"/>
      <c r="D57" s="11"/>
      <c r="E57" s="12"/>
      <c r="F57" s="11"/>
      <c r="G57" s="14">
        <f>IF(A57="","",IF(A57&gt;=DATE(YEAR(A57),4,6),YEAR(A57)&amp;"-"&amp;RIGHT(YEAR(A57)+1,2),YEAR(A57)-1&amp;"-"&amp;RIGHT(YEAR(A57),2)))</f>
      </c>
    </row>
    <row r="58" spans="1:7" x14ac:dyDescent="0.25">
      <c r="A58" s="10"/>
      <c r="B58" s="11"/>
      <c r="C58" s="11"/>
      <c r="D58" s="11"/>
      <c r="E58" s="12"/>
      <c r="F58" s="11"/>
      <c r="G58" s="14">
        <f>IF(A58="","",IF(A58&gt;=DATE(YEAR(A58),4,6),YEAR(A58)&amp;"-"&amp;RIGHT(YEAR(A58)+1,2),YEAR(A58)-1&amp;"-"&amp;RIGHT(YEAR(A58),2)))</f>
      </c>
    </row>
    <row r="59" spans="1:7" x14ac:dyDescent="0.25">
      <c r="A59" s="10"/>
      <c r="B59" s="11"/>
      <c r="C59" s="11"/>
      <c r="D59" s="11"/>
      <c r="E59" s="12"/>
      <c r="F59" s="11"/>
      <c r="G59" s="14">
        <f>IF(A59="","",IF(A59&gt;=DATE(YEAR(A59),4,6),YEAR(A59)&amp;"-"&amp;RIGHT(YEAR(A59)+1,2),YEAR(A59)-1&amp;"-"&amp;RIGHT(YEAR(A59),2)))</f>
      </c>
    </row>
    <row r="60" spans="1:7" x14ac:dyDescent="0.25">
      <c r="A60" s="10"/>
      <c r="B60" s="11"/>
      <c r="C60" s="11"/>
      <c r="D60" s="11"/>
      <c r="E60" s="12"/>
      <c r="F60" s="11"/>
      <c r="G60" s="14">
        <f>IF(A60="","",IF(A60&gt;=DATE(YEAR(A60),4,6),YEAR(A60)&amp;"-"&amp;RIGHT(YEAR(A60)+1,2),YEAR(A60)-1&amp;"-"&amp;RIGHT(YEAR(A60),2)))</f>
      </c>
    </row>
    <row r="61" spans="1:7" x14ac:dyDescent="0.25">
      <c r="A61" s="10"/>
      <c r="B61" s="11"/>
      <c r="C61" s="11"/>
      <c r="D61" s="11"/>
      <c r="E61" s="12"/>
      <c r="F61" s="11"/>
      <c r="G61" s="14">
        <f>IF(A61="","",IF(A61&gt;=DATE(YEAR(A61),4,6),YEAR(A61)&amp;"-"&amp;RIGHT(YEAR(A61)+1,2),YEAR(A61)-1&amp;"-"&amp;RIGHT(YEAR(A61),2)))</f>
      </c>
    </row>
    <row r="62" spans="1:7" x14ac:dyDescent="0.25">
      <c r="A62" s="10"/>
      <c r="B62" s="11"/>
      <c r="C62" s="11"/>
      <c r="D62" s="11"/>
      <c r="E62" s="12"/>
      <c r="F62" s="11"/>
      <c r="G62" s="14">
        <f>IF(A62="","",IF(A62&gt;=DATE(YEAR(A62),4,6),YEAR(A62)&amp;"-"&amp;RIGHT(YEAR(A62)+1,2),YEAR(A62)-1&amp;"-"&amp;RIGHT(YEAR(A62),2)))</f>
      </c>
    </row>
    <row r="63" spans="1:7" x14ac:dyDescent="0.25">
      <c r="A63" s="10"/>
      <c r="B63" s="11"/>
      <c r="C63" s="11"/>
      <c r="D63" s="11"/>
      <c r="E63" s="12"/>
      <c r="F63" s="11"/>
      <c r="G63" s="14">
        <f>IF(A63="","",IF(A63&gt;=DATE(YEAR(A63),4,6),YEAR(A63)&amp;"-"&amp;RIGHT(YEAR(A63)+1,2),YEAR(A63)-1&amp;"-"&amp;RIGHT(YEAR(A63),2)))</f>
      </c>
    </row>
    <row r="64" spans="1:7" x14ac:dyDescent="0.25">
      <c r="A64" s="10"/>
      <c r="B64" s="11"/>
      <c r="C64" s="11"/>
      <c r="D64" s="11"/>
      <c r="E64" s="12"/>
      <c r="F64" s="11"/>
      <c r="G64" s="14">
        <f>IF(A64="","",IF(A64&gt;=DATE(YEAR(A64),4,6),YEAR(A64)&amp;"-"&amp;RIGHT(YEAR(A64)+1,2),YEAR(A64)-1&amp;"-"&amp;RIGHT(YEAR(A64),2)))</f>
      </c>
    </row>
    <row r="65" spans="1:7" x14ac:dyDescent="0.25">
      <c r="A65" s="10"/>
      <c r="B65" s="11"/>
      <c r="C65" s="11"/>
      <c r="D65" s="11"/>
      <c r="E65" s="12"/>
      <c r="F65" s="11"/>
      <c r="G65" s="14">
        <f>IF(A65="","",IF(A65&gt;=DATE(YEAR(A65),4,6),YEAR(A65)&amp;"-"&amp;RIGHT(YEAR(A65)+1,2),YEAR(A65)-1&amp;"-"&amp;RIGHT(YEAR(A65),2)))</f>
      </c>
    </row>
    <row r="66" spans="1:7" x14ac:dyDescent="0.25">
      <c r="A66" s="10"/>
      <c r="B66" s="11"/>
      <c r="C66" s="11"/>
      <c r="D66" s="11"/>
      <c r="E66" s="12"/>
      <c r="F66" s="11"/>
      <c r="G66" s="14">
        <f>IF(A66="","",IF(A66&gt;=DATE(YEAR(A66),4,6),YEAR(A66)&amp;"-"&amp;RIGHT(YEAR(A66)+1,2),YEAR(A66)-1&amp;"-"&amp;RIGHT(YEAR(A66),2)))</f>
      </c>
    </row>
    <row r="67" spans="1:7" x14ac:dyDescent="0.25">
      <c r="A67" s="10"/>
      <c r="B67" s="11"/>
      <c r="C67" s="11"/>
      <c r="D67" s="11"/>
      <c r="E67" s="12"/>
      <c r="F67" s="11"/>
      <c r="G67" s="14">
        <f>IF(A67="","",IF(A67&gt;=DATE(YEAR(A67),4,6),YEAR(A67)&amp;"-"&amp;RIGHT(YEAR(A67)+1,2),YEAR(A67)-1&amp;"-"&amp;RIGHT(YEAR(A67),2)))</f>
      </c>
    </row>
    <row r="68" spans="1:7" x14ac:dyDescent="0.25">
      <c r="A68" s="10"/>
      <c r="B68" s="11"/>
      <c r="C68" s="11"/>
      <c r="D68" s="11"/>
      <c r="E68" s="12"/>
      <c r="F68" s="11"/>
      <c r="G68" s="14">
        <f>IF(A68="","",IF(A68&gt;=DATE(YEAR(A68),4,6),YEAR(A68)&amp;"-"&amp;RIGHT(YEAR(A68)+1,2),YEAR(A68)-1&amp;"-"&amp;RIGHT(YEAR(A68),2)))</f>
      </c>
    </row>
    <row r="69" spans="1:7" x14ac:dyDescent="0.25">
      <c r="A69" s="10"/>
      <c r="B69" s="11"/>
      <c r="C69" s="11"/>
      <c r="D69" s="11"/>
      <c r="E69" s="12"/>
      <c r="F69" s="11"/>
      <c r="G69" s="14">
        <f>IF(A69="","",IF(A69&gt;=DATE(YEAR(A69),4,6),YEAR(A69)&amp;"-"&amp;RIGHT(YEAR(A69)+1,2),YEAR(A69)-1&amp;"-"&amp;RIGHT(YEAR(A69),2)))</f>
      </c>
    </row>
    <row r="70" spans="1:7" x14ac:dyDescent="0.25">
      <c r="A70" s="10"/>
      <c r="B70" s="11"/>
      <c r="C70" s="11"/>
      <c r="D70" s="11"/>
      <c r="E70" s="12"/>
      <c r="F70" s="11"/>
      <c r="G70" s="14">
        <f>IF(A70="","",IF(A70&gt;=DATE(YEAR(A70),4,6),YEAR(A70)&amp;"-"&amp;RIGHT(YEAR(A70)+1,2),YEAR(A70)-1&amp;"-"&amp;RIGHT(YEAR(A70),2)))</f>
      </c>
    </row>
    <row r="71" spans="1:7" x14ac:dyDescent="0.25">
      <c r="A71" s="10"/>
      <c r="B71" s="11"/>
      <c r="C71" s="11"/>
      <c r="D71" s="11"/>
      <c r="E71" s="12"/>
      <c r="F71" s="11"/>
      <c r="G71" s="14">
        <f>IF(A71="","",IF(A71&gt;=DATE(YEAR(A71),4,6),YEAR(A71)&amp;"-"&amp;RIGHT(YEAR(A71)+1,2),YEAR(A71)-1&amp;"-"&amp;RIGHT(YEAR(A71),2)))</f>
      </c>
    </row>
    <row r="72" spans="1:7" x14ac:dyDescent="0.25">
      <c r="A72" s="10"/>
      <c r="B72" s="11"/>
      <c r="C72" s="11"/>
      <c r="D72" s="11"/>
      <c r="E72" s="12"/>
      <c r="F72" s="11"/>
      <c r="G72" s="14">
        <f>IF(A72="","",IF(A72&gt;=DATE(YEAR(A72),4,6),YEAR(A72)&amp;"-"&amp;RIGHT(YEAR(A72)+1,2),YEAR(A72)-1&amp;"-"&amp;RIGHT(YEAR(A72),2)))</f>
      </c>
    </row>
    <row r="73" spans="1:7" x14ac:dyDescent="0.25">
      <c r="A73" s="10"/>
      <c r="B73" s="11"/>
      <c r="C73" s="11"/>
      <c r="D73" s="11"/>
      <c r="E73" s="12"/>
      <c r="F73" s="11"/>
      <c r="G73" s="14">
        <f>IF(A73="","",IF(A73&gt;=DATE(YEAR(A73),4,6),YEAR(A73)&amp;"-"&amp;RIGHT(YEAR(A73)+1,2),YEAR(A73)-1&amp;"-"&amp;RIGHT(YEAR(A73),2)))</f>
      </c>
    </row>
    <row r="74" spans="1:7" x14ac:dyDescent="0.25">
      <c r="A74" s="10"/>
      <c r="B74" s="11"/>
      <c r="C74" s="11"/>
      <c r="D74" s="11"/>
      <c r="E74" s="12"/>
      <c r="F74" s="11"/>
      <c r="G74" s="14">
        <f>IF(A74="","",IF(A74&gt;=DATE(YEAR(A74),4,6),YEAR(A74)&amp;"-"&amp;RIGHT(YEAR(A74)+1,2),YEAR(A74)-1&amp;"-"&amp;RIGHT(YEAR(A74),2)))</f>
      </c>
    </row>
    <row r="75" spans="1:7" x14ac:dyDescent="0.25">
      <c r="A75" s="10"/>
      <c r="B75" s="11"/>
      <c r="C75" s="11"/>
      <c r="D75" s="11"/>
      <c r="E75" s="12"/>
      <c r="F75" s="11"/>
      <c r="G75" s="14">
        <f>IF(A75="","",IF(A75&gt;=DATE(YEAR(A75),4,6),YEAR(A75)&amp;"-"&amp;RIGHT(YEAR(A75)+1,2),YEAR(A75)-1&amp;"-"&amp;RIGHT(YEAR(A75),2)))</f>
      </c>
    </row>
    <row r="76" spans="1:7" x14ac:dyDescent="0.25">
      <c r="A76" s="10"/>
      <c r="B76" s="11"/>
      <c r="C76" s="11"/>
      <c r="D76" s="11"/>
      <c r="E76" s="12"/>
      <c r="F76" s="11"/>
      <c r="G76" s="14">
        <f>IF(A76="","",IF(A76&gt;=DATE(YEAR(A76),4,6),YEAR(A76)&amp;"-"&amp;RIGHT(YEAR(A76)+1,2),YEAR(A76)-1&amp;"-"&amp;RIGHT(YEAR(A76),2)))</f>
      </c>
    </row>
    <row r="77" spans="1:7" x14ac:dyDescent="0.25">
      <c r="A77" s="10"/>
      <c r="B77" s="11"/>
      <c r="C77" s="11"/>
      <c r="D77" s="11"/>
      <c r="E77" s="12"/>
      <c r="F77" s="11"/>
      <c r="G77" s="14">
        <f>IF(A77="","",IF(A77&gt;=DATE(YEAR(A77),4,6),YEAR(A77)&amp;"-"&amp;RIGHT(YEAR(A77)+1,2),YEAR(A77)-1&amp;"-"&amp;RIGHT(YEAR(A77),2)))</f>
      </c>
    </row>
    <row r="78" spans="1:7" x14ac:dyDescent="0.25">
      <c r="A78" s="10"/>
      <c r="B78" s="11"/>
      <c r="C78" s="11"/>
      <c r="D78" s="11"/>
      <c r="E78" s="12"/>
      <c r="F78" s="11"/>
      <c r="G78" s="14">
        <f>IF(A78="","",IF(A78&gt;=DATE(YEAR(A78),4,6),YEAR(A78)&amp;"-"&amp;RIGHT(YEAR(A78)+1,2),YEAR(A78)-1&amp;"-"&amp;RIGHT(YEAR(A78),2)))</f>
      </c>
    </row>
    <row r="79" spans="1:7" x14ac:dyDescent="0.25">
      <c r="A79" s="10"/>
      <c r="B79" s="11"/>
      <c r="C79" s="11"/>
      <c r="D79" s="11"/>
      <c r="E79" s="12"/>
      <c r="F79" s="11"/>
      <c r="G79" s="14">
        <f>IF(A79="","",IF(A79&gt;=DATE(YEAR(A79),4,6),YEAR(A79)&amp;"-"&amp;RIGHT(YEAR(A79)+1,2),YEAR(A79)-1&amp;"-"&amp;RIGHT(YEAR(A79),2)))</f>
      </c>
    </row>
    <row r="80" spans="1:7" x14ac:dyDescent="0.25">
      <c r="A80" s="10"/>
      <c r="B80" s="11"/>
      <c r="C80" s="11"/>
      <c r="D80" s="11"/>
      <c r="E80" s="12"/>
      <c r="F80" s="11"/>
      <c r="G80" s="14">
        <f>IF(A80="","",IF(A80&gt;=DATE(YEAR(A80),4,6),YEAR(A80)&amp;"-"&amp;RIGHT(YEAR(A80)+1,2),YEAR(A80)-1&amp;"-"&amp;RIGHT(YEAR(A80),2)))</f>
      </c>
    </row>
    <row r="81" spans="1:7" x14ac:dyDescent="0.25">
      <c r="A81" s="10"/>
      <c r="B81" s="11"/>
      <c r="C81" s="11"/>
      <c r="D81" s="11"/>
      <c r="E81" s="12"/>
      <c r="F81" s="11"/>
      <c r="G81" s="14">
        <f>IF(A81="","",IF(A81&gt;=DATE(YEAR(A81),4,6),YEAR(A81)&amp;"-"&amp;RIGHT(YEAR(A81)+1,2),YEAR(A81)-1&amp;"-"&amp;RIGHT(YEAR(A81),2)))</f>
      </c>
    </row>
    <row r="82" spans="1:7" x14ac:dyDescent="0.25">
      <c r="A82" s="10"/>
      <c r="B82" s="11"/>
      <c r="C82" s="11"/>
      <c r="D82" s="11"/>
      <c r="E82" s="12"/>
      <c r="F82" s="11"/>
      <c r="G82" s="14">
        <f>IF(A82="","",IF(A82&gt;=DATE(YEAR(A82),4,6),YEAR(A82)&amp;"-"&amp;RIGHT(YEAR(A82)+1,2),YEAR(A82)-1&amp;"-"&amp;RIGHT(YEAR(A82),2)))</f>
      </c>
    </row>
    <row r="83" spans="1:7" x14ac:dyDescent="0.25">
      <c r="A83" s="10"/>
      <c r="B83" s="11"/>
      <c r="C83" s="11"/>
      <c r="D83" s="11"/>
      <c r="E83" s="12"/>
      <c r="F83" s="11"/>
      <c r="G83" s="14">
        <f>IF(A83="","",IF(A83&gt;=DATE(YEAR(A83),4,6),YEAR(A83)&amp;"-"&amp;RIGHT(YEAR(A83)+1,2),YEAR(A83)-1&amp;"-"&amp;RIGHT(YEAR(A83),2)))</f>
      </c>
    </row>
    <row r="84" spans="1:7" x14ac:dyDescent="0.25">
      <c r="A84" s="10"/>
      <c r="B84" s="11"/>
      <c r="C84" s="11"/>
      <c r="D84" s="11"/>
      <c r="E84" s="12"/>
      <c r="F84" s="11"/>
      <c r="G84" s="14">
        <f>IF(A84="","",IF(A84&gt;=DATE(YEAR(A84),4,6),YEAR(A84)&amp;"-"&amp;RIGHT(YEAR(A84)+1,2),YEAR(A84)-1&amp;"-"&amp;RIGHT(YEAR(A84),2)))</f>
      </c>
    </row>
    <row r="85" spans="1:7" x14ac:dyDescent="0.25">
      <c r="A85" s="10"/>
      <c r="B85" s="11"/>
      <c r="C85" s="11"/>
      <c r="D85" s="11"/>
      <c r="E85" s="12"/>
      <c r="F85" s="11"/>
      <c r="G85" s="14">
        <f>IF(A85="","",IF(A85&gt;=DATE(YEAR(A85),4,6),YEAR(A85)&amp;"-"&amp;RIGHT(YEAR(A85)+1,2),YEAR(A85)-1&amp;"-"&amp;RIGHT(YEAR(A85),2)))</f>
      </c>
    </row>
    <row r="86" spans="1:7" x14ac:dyDescent="0.25">
      <c r="A86" s="10"/>
      <c r="B86" s="11"/>
      <c r="C86" s="11"/>
      <c r="D86" s="11"/>
      <c r="E86" s="12"/>
      <c r="F86" s="11"/>
      <c r="G86" s="14">
        <f>IF(A86="","",IF(A86&gt;=DATE(YEAR(A86),4,6),YEAR(A86)&amp;"-"&amp;RIGHT(YEAR(A86)+1,2),YEAR(A86)-1&amp;"-"&amp;RIGHT(YEAR(A86),2)))</f>
      </c>
    </row>
    <row r="87" spans="1:7" x14ac:dyDescent="0.25">
      <c r="A87" s="10"/>
      <c r="B87" s="11"/>
      <c r="C87" s="11"/>
      <c r="D87" s="11"/>
      <c r="E87" s="12"/>
      <c r="F87" s="11"/>
      <c r="G87" s="14">
        <f>IF(A87="","",IF(A87&gt;=DATE(YEAR(A87),4,6),YEAR(A87)&amp;"-"&amp;RIGHT(YEAR(A87)+1,2),YEAR(A87)-1&amp;"-"&amp;RIGHT(YEAR(A87),2)))</f>
      </c>
    </row>
    <row r="88" spans="1:7" x14ac:dyDescent="0.25">
      <c r="A88" s="10"/>
      <c r="B88" s="11"/>
      <c r="C88" s="11"/>
      <c r="D88" s="11"/>
      <c r="E88" s="12"/>
      <c r="F88" s="11"/>
      <c r="G88" s="14">
        <f>IF(A88="","",IF(A88&gt;=DATE(YEAR(A88),4,6),YEAR(A88)&amp;"-"&amp;RIGHT(YEAR(A88)+1,2),YEAR(A88)-1&amp;"-"&amp;RIGHT(YEAR(A88),2)))</f>
      </c>
    </row>
    <row r="89" spans="1:7" x14ac:dyDescent="0.25">
      <c r="A89" s="10"/>
      <c r="B89" s="11"/>
      <c r="C89" s="11"/>
      <c r="D89" s="11"/>
      <c r="E89" s="12"/>
      <c r="F89" s="11"/>
      <c r="G89" s="14">
        <f>IF(A89="","",IF(A89&gt;=DATE(YEAR(A89),4,6),YEAR(A89)&amp;"-"&amp;RIGHT(YEAR(A89)+1,2),YEAR(A89)-1&amp;"-"&amp;RIGHT(YEAR(A89),2)))</f>
      </c>
    </row>
    <row r="90" spans="1:7" x14ac:dyDescent="0.25">
      <c r="A90" s="10"/>
      <c r="B90" s="11"/>
      <c r="C90" s="11"/>
      <c r="D90" s="11"/>
      <c r="E90" s="12"/>
      <c r="F90" s="11"/>
      <c r="G90" s="14">
        <f>IF(A90="","",IF(A90&gt;=DATE(YEAR(A90),4,6),YEAR(A90)&amp;"-"&amp;RIGHT(YEAR(A90)+1,2),YEAR(A90)-1&amp;"-"&amp;RIGHT(YEAR(A90),2)))</f>
      </c>
    </row>
    <row r="91" spans="1:7" x14ac:dyDescent="0.25">
      <c r="A91" s="10"/>
      <c r="B91" s="11"/>
      <c r="C91" s="11"/>
      <c r="D91" s="11"/>
      <c r="E91" s="12"/>
      <c r="F91" s="11"/>
      <c r="G91" s="14">
        <f>IF(A91="","",IF(A91&gt;=DATE(YEAR(A91),4,6),YEAR(A91)&amp;"-"&amp;RIGHT(YEAR(A91)+1,2),YEAR(A91)-1&amp;"-"&amp;RIGHT(YEAR(A91),2)))</f>
      </c>
    </row>
    <row r="92" spans="1:7" x14ac:dyDescent="0.25">
      <c r="A92" s="10"/>
      <c r="B92" s="11"/>
      <c r="C92" s="11"/>
      <c r="D92" s="11"/>
      <c r="E92" s="12"/>
      <c r="F92" s="11"/>
      <c r="G92" s="14">
        <f>IF(A92="","",IF(A92&gt;=DATE(YEAR(A92),4,6),YEAR(A92)&amp;"-"&amp;RIGHT(YEAR(A92)+1,2),YEAR(A92)-1&amp;"-"&amp;RIGHT(YEAR(A92),2)))</f>
      </c>
    </row>
    <row r="93" spans="1:7" x14ac:dyDescent="0.25">
      <c r="A93" s="10"/>
      <c r="B93" s="11"/>
      <c r="C93" s="11"/>
      <c r="D93" s="11"/>
      <c r="E93" s="12"/>
      <c r="F93" s="11"/>
      <c r="G93" s="14">
        <f>IF(A93="","",IF(A93&gt;=DATE(YEAR(A93),4,6),YEAR(A93)&amp;"-"&amp;RIGHT(YEAR(A93)+1,2),YEAR(A93)-1&amp;"-"&amp;RIGHT(YEAR(A93),2)))</f>
      </c>
    </row>
    <row r="94" spans="1:7" x14ac:dyDescent="0.25">
      <c r="A94" s="10"/>
      <c r="B94" s="11"/>
      <c r="C94" s="11"/>
      <c r="D94" s="11"/>
      <c r="E94" s="12"/>
      <c r="F94" s="11"/>
      <c r="G94" s="14">
        <f>IF(A94="","",IF(A94&gt;=DATE(YEAR(A94),4,6),YEAR(A94)&amp;"-"&amp;RIGHT(YEAR(A94)+1,2),YEAR(A94)-1&amp;"-"&amp;RIGHT(YEAR(A94),2)))</f>
      </c>
    </row>
    <row r="95" spans="1:7" x14ac:dyDescent="0.25">
      <c r="A95" s="10"/>
      <c r="B95" s="11"/>
      <c r="C95" s="11"/>
      <c r="D95" s="11"/>
      <c r="E95" s="12"/>
      <c r="F95" s="11"/>
      <c r="G95" s="14">
        <f>IF(A95="","",IF(A95&gt;=DATE(YEAR(A95),4,6),YEAR(A95)&amp;"-"&amp;RIGHT(YEAR(A95)+1,2),YEAR(A95)-1&amp;"-"&amp;RIGHT(YEAR(A95),2)))</f>
      </c>
    </row>
    <row r="96" spans="1:7" x14ac:dyDescent="0.25">
      <c r="A96" s="10"/>
      <c r="B96" s="11"/>
      <c r="C96" s="11"/>
      <c r="D96" s="11"/>
      <c r="E96" s="12"/>
      <c r="F96" s="11"/>
      <c r="G96" s="14">
        <f>IF(A96="","",IF(A96&gt;=DATE(YEAR(A96),4,6),YEAR(A96)&amp;"-"&amp;RIGHT(YEAR(A96)+1,2),YEAR(A96)-1&amp;"-"&amp;RIGHT(YEAR(A96),2)))</f>
      </c>
    </row>
    <row r="97" spans="1:7" x14ac:dyDescent="0.25">
      <c r="A97" s="10"/>
      <c r="B97" s="11"/>
      <c r="C97" s="11"/>
      <c r="D97" s="11"/>
      <c r="E97" s="12"/>
      <c r="F97" s="11"/>
      <c r="G97" s="14">
        <f>IF(A97="","",IF(A97&gt;=DATE(YEAR(A97),4,6),YEAR(A97)&amp;"-"&amp;RIGHT(YEAR(A97)+1,2),YEAR(A97)-1&amp;"-"&amp;RIGHT(YEAR(A97),2)))</f>
      </c>
    </row>
    <row r="98" spans="1:7" x14ac:dyDescent="0.25">
      <c r="A98" s="10"/>
      <c r="B98" s="11"/>
      <c r="C98" s="11"/>
      <c r="D98" s="11"/>
      <c r="E98" s="12"/>
      <c r="F98" s="11"/>
      <c r="G98" s="14">
        <f>IF(A98="","",IF(A98&gt;=DATE(YEAR(A98),4,6),YEAR(A98)&amp;"-"&amp;RIGHT(YEAR(A98)+1,2),YEAR(A98)-1&amp;"-"&amp;RIGHT(YEAR(A98),2)))</f>
      </c>
    </row>
    <row r="99" spans="1:7" x14ac:dyDescent="0.25">
      <c r="A99" s="10"/>
      <c r="B99" s="11"/>
      <c r="C99" s="11"/>
      <c r="D99" s="11"/>
      <c r="E99" s="12"/>
      <c r="F99" s="11"/>
      <c r="G99" s="14">
        <f>IF(A99="","",IF(A99&gt;=DATE(YEAR(A99),4,6),YEAR(A99)&amp;"-"&amp;RIGHT(YEAR(A99)+1,2),YEAR(A99)-1&amp;"-"&amp;RIGHT(YEAR(A99),2)))</f>
      </c>
    </row>
    <row r="100" spans="1:7" x14ac:dyDescent="0.25">
      <c r="A100" s="10"/>
      <c r="B100" s="11"/>
      <c r="C100" s="11"/>
      <c r="D100" s="11"/>
      <c r="E100" s="12"/>
      <c r="F100" s="11"/>
      <c r="G100" s="14">
        <f>IF(A100="","",IF(A100&gt;=DATE(YEAR(A100),4,6),YEAR(A100)&amp;"-"&amp;RIGHT(YEAR(A100)+1,2),YEAR(A100)-1&amp;"-"&amp;RIGHT(YEAR(A100),2)))</f>
      </c>
    </row>
    <row r="101" spans="1:7" x14ac:dyDescent="0.25">
      <c r="A101" s="10"/>
      <c r="B101" s="11"/>
      <c r="C101" s="11"/>
      <c r="D101" s="11"/>
      <c r="E101" s="12"/>
      <c r="F101" s="11"/>
      <c r="G101" s="14">
        <f>IF(A101="","",IF(A101&gt;=DATE(YEAR(A101),4,6),YEAR(A101)&amp;"-"&amp;RIGHT(YEAR(A101)+1,2),YEAR(A101)-1&amp;"-"&amp;RIGHT(YEAR(A101),2)))</f>
      </c>
    </row>
    <row r="102" spans="1:7" x14ac:dyDescent="0.25">
      <c r="A102" s="10"/>
      <c r="B102" s="11"/>
      <c r="C102" s="11"/>
      <c r="D102" s="11"/>
      <c r="E102" s="12"/>
      <c r="F102" s="11"/>
      <c r="G102" s="14">
        <f>IF(A102="","",IF(A102&gt;=DATE(YEAR(A102),4,6),YEAR(A102)&amp;"-"&amp;RIGHT(YEAR(A102)+1,2),YEAR(A102)-1&amp;"-"&amp;RIGHT(YEAR(A102),2)))</f>
      </c>
    </row>
    <row r="103" spans="1:7" x14ac:dyDescent="0.25">
      <c r="A103" s="10"/>
      <c r="B103" s="11"/>
      <c r="C103" s="11"/>
      <c r="D103" s="11"/>
      <c r="E103" s="12"/>
      <c r="F103" s="11"/>
      <c r="G103" s="14">
        <f>IF(A103="","",IF(A103&gt;=DATE(YEAR(A103),4,6),YEAR(A103)&amp;"-"&amp;RIGHT(YEAR(A103)+1,2),YEAR(A103)-1&amp;"-"&amp;RIGHT(YEAR(A103),2)))</f>
      </c>
    </row>
    <row r="104" spans="1:7" x14ac:dyDescent="0.25">
      <c r="A104" s="10"/>
      <c r="B104" s="11"/>
      <c r="C104" s="11"/>
      <c r="D104" s="11"/>
      <c r="E104" s="12"/>
      <c r="F104" s="11"/>
      <c r="G104" s="14">
        <f>IF(A104="","",IF(A104&gt;=DATE(YEAR(A104),4,6),YEAR(A104)&amp;"-"&amp;RIGHT(YEAR(A104)+1,2),YEAR(A104)-1&amp;"-"&amp;RIGHT(YEAR(A104),2)))</f>
      </c>
    </row>
    <row r="105" spans="1:7" x14ac:dyDescent="0.25">
      <c r="A105" s="10"/>
      <c r="B105" s="11"/>
      <c r="C105" s="11"/>
      <c r="D105" s="11"/>
      <c r="E105" s="12"/>
      <c r="F105" s="11"/>
      <c r="G105" s="14">
        <f>IF(A105="","",IF(A105&gt;=DATE(YEAR(A105),4,6),YEAR(A105)&amp;"-"&amp;RIGHT(YEAR(A105)+1,2),YEAR(A105)-1&amp;"-"&amp;RIGHT(YEAR(A105),2)))</f>
      </c>
    </row>
    <row r="106" spans="1:7" x14ac:dyDescent="0.25">
      <c r="A106" s="10"/>
      <c r="B106" s="11"/>
      <c r="C106" s="11"/>
      <c r="D106" s="11"/>
      <c r="E106" s="12"/>
      <c r="F106" s="11"/>
      <c r="G106" s="14">
        <f>IF(A106="","",IF(A106&gt;=DATE(YEAR(A106),4,6),YEAR(A106)&amp;"-"&amp;RIGHT(YEAR(A106)+1,2),YEAR(A106)-1&amp;"-"&amp;RIGHT(YEAR(A106),2)))</f>
      </c>
    </row>
    <row r="107" spans="1:7" x14ac:dyDescent="0.25">
      <c r="A107" s="10"/>
      <c r="B107" s="11"/>
      <c r="C107" s="11"/>
      <c r="D107" s="11"/>
      <c r="E107" s="12"/>
      <c r="F107" s="11"/>
      <c r="G107" s="14">
        <f>IF(A107="","",IF(A107&gt;=DATE(YEAR(A107),4,6),YEAR(A107)&amp;"-"&amp;RIGHT(YEAR(A107)+1,2),YEAR(A107)-1&amp;"-"&amp;RIGHT(YEAR(A107),2)))</f>
      </c>
    </row>
    <row r="108" spans="1:7" x14ac:dyDescent="0.25">
      <c r="A108" s="10"/>
      <c r="B108" s="11"/>
      <c r="C108" s="11"/>
      <c r="D108" s="11"/>
      <c r="E108" s="12"/>
      <c r="F108" s="11"/>
      <c r="G108" s="14">
        <f>IF(A108="","",IF(A108&gt;=DATE(YEAR(A108),4,6),YEAR(A108)&amp;"-"&amp;RIGHT(YEAR(A108)+1,2),YEAR(A108)-1&amp;"-"&amp;RIGHT(YEAR(A108),2)))</f>
      </c>
    </row>
    <row r="109" spans="1:7" x14ac:dyDescent="0.25">
      <c r="A109" s="10"/>
      <c r="B109" s="11"/>
      <c r="C109" s="11"/>
      <c r="D109" s="11"/>
      <c r="E109" s="12"/>
      <c r="F109" s="11"/>
      <c r="G109" s="14">
        <f>IF(A109="","",IF(A109&gt;=DATE(YEAR(A109),4,6),YEAR(A109)&amp;"-"&amp;RIGHT(YEAR(A109)+1,2),YEAR(A109)-1&amp;"-"&amp;RIGHT(YEAR(A109),2)))</f>
      </c>
    </row>
    <row r="110" spans="1:7" x14ac:dyDescent="0.25">
      <c r="A110" s="10"/>
      <c r="B110" s="11"/>
      <c r="C110" s="11"/>
      <c r="D110" s="11"/>
      <c r="E110" s="12"/>
      <c r="F110" s="11"/>
      <c r="G110" s="14">
        <f>IF(A110="","",IF(A110&gt;=DATE(YEAR(A110),4,6),YEAR(A110)&amp;"-"&amp;RIGHT(YEAR(A110)+1,2),YEAR(A110)-1&amp;"-"&amp;RIGHT(YEAR(A110),2)))</f>
      </c>
    </row>
    <row r="111" spans="1:7" x14ac:dyDescent="0.25">
      <c r="A111" s="10"/>
      <c r="B111" s="11"/>
      <c r="C111" s="11"/>
      <c r="D111" s="11"/>
      <c r="E111" s="12"/>
      <c r="F111" s="11"/>
      <c r="G111" s="14">
        <f>IF(A111="","",IF(A111&gt;=DATE(YEAR(A111),4,6),YEAR(A111)&amp;"-"&amp;RIGHT(YEAR(A111)+1,2),YEAR(A111)-1&amp;"-"&amp;RIGHT(YEAR(A111),2)))</f>
      </c>
    </row>
    <row r="112" spans="1:7" x14ac:dyDescent="0.25">
      <c r="A112" s="10"/>
      <c r="B112" s="11"/>
      <c r="C112" s="11"/>
      <c r="D112" s="11"/>
      <c r="E112" s="12"/>
      <c r="F112" s="11"/>
      <c r="G112" s="14">
        <f>IF(A112="","",IF(A112&gt;=DATE(YEAR(A112),4,6),YEAR(A112)&amp;"-"&amp;RIGHT(YEAR(A112)+1,2),YEAR(A112)-1&amp;"-"&amp;RIGHT(YEAR(A112),2)))</f>
      </c>
    </row>
    <row r="113" spans="1:7" x14ac:dyDescent="0.25">
      <c r="A113" s="10"/>
      <c r="B113" s="11"/>
      <c r="C113" s="11"/>
      <c r="D113" s="11"/>
      <c r="E113" s="12"/>
      <c r="F113" s="11"/>
      <c r="G113" s="14">
        <f>IF(A113="","",IF(A113&gt;=DATE(YEAR(A113),4,6),YEAR(A113)&amp;"-"&amp;RIGHT(YEAR(A113)+1,2),YEAR(A113)-1&amp;"-"&amp;RIGHT(YEAR(A113),2)))</f>
      </c>
    </row>
    <row r="114" spans="1:7" x14ac:dyDescent="0.25">
      <c r="A114" s="10"/>
      <c r="B114" s="11"/>
      <c r="C114" s="11"/>
      <c r="D114" s="11"/>
      <c r="E114" s="12"/>
      <c r="F114" s="11"/>
      <c r="G114" s="14">
        <f>IF(A114="","",IF(A114&gt;=DATE(YEAR(A114),4,6),YEAR(A114)&amp;"-"&amp;RIGHT(YEAR(A114)+1,2),YEAR(A114)-1&amp;"-"&amp;RIGHT(YEAR(A114),2)))</f>
      </c>
    </row>
    <row r="115" spans="1:7" x14ac:dyDescent="0.25">
      <c r="A115" s="10"/>
      <c r="B115" s="11"/>
      <c r="C115" s="11"/>
      <c r="D115" s="11"/>
      <c r="E115" s="12"/>
      <c r="F115" s="11"/>
      <c r="G115" s="14">
        <f>IF(A115="","",IF(A115&gt;=DATE(YEAR(A115),4,6),YEAR(A115)&amp;"-"&amp;RIGHT(YEAR(A115)+1,2),YEAR(A115)-1&amp;"-"&amp;RIGHT(YEAR(A115),2)))</f>
      </c>
    </row>
    <row r="116" spans="1:7" x14ac:dyDescent="0.25">
      <c r="A116" s="10"/>
      <c r="B116" s="11"/>
      <c r="C116" s="11"/>
      <c r="D116" s="11"/>
      <c r="E116" s="12"/>
      <c r="F116" s="11"/>
      <c r="G116" s="14">
        <f>IF(A116="","",IF(A116&gt;=DATE(YEAR(A116),4,6),YEAR(A116)&amp;"-"&amp;RIGHT(YEAR(A116)+1,2),YEAR(A116)-1&amp;"-"&amp;RIGHT(YEAR(A116),2)))</f>
      </c>
    </row>
    <row r="117" spans="1:7" x14ac:dyDescent="0.25">
      <c r="A117" s="10"/>
      <c r="B117" s="11"/>
      <c r="C117" s="11"/>
      <c r="D117" s="11"/>
      <c r="E117" s="12"/>
      <c r="F117" s="11"/>
      <c r="G117" s="14">
        <f>IF(A117="","",IF(A117&gt;=DATE(YEAR(A117),4,6),YEAR(A117)&amp;"-"&amp;RIGHT(YEAR(A117)+1,2),YEAR(A117)-1&amp;"-"&amp;RIGHT(YEAR(A117),2)))</f>
      </c>
    </row>
    <row r="118" spans="1:7" x14ac:dyDescent="0.25">
      <c r="A118" s="10"/>
      <c r="B118" s="11"/>
      <c r="C118" s="11"/>
      <c r="D118" s="11"/>
      <c r="E118" s="12"/>
      <c r="F118" s="11"/>
      <c r="G118" s="14">
        <f>IF(A118="","",IF(A118&gt;=DATE(YEAR(A118),4,6),YEAR(A118)&amp;"-"&amp;RIGHT(YEAR(A118)+1,2),YEAR(A118)-1&amp;"-"&amp;RIGHT(YEAR(A118),2)))</f>
      </c>
    </row>
    <row r="119" spans="1:7" x14ac:dyDescent="0.25">
      <c r="A119" s="10"/>
      <c r="B119" s="11"/>
      <c r="C119" s="11"/>
      <c r="D119" s="11"/>
      <c r="E119" s="12"/>
      <c r="F119" s="11"/>
      <c r="G119" s="14">
        <f>IF(A119="","",IF(A119&gt;=DATE(YEAR(A119),4,6),YEAR(A119)&amp;"-"&amp;RIGHT(YEAR(A119)+1,2),YEAR(A119)-1&amp;"-"&amp;RIGHT(YEAR(A119),2)))</f>
      </c>
    </row>
    <row r="120" spans="1:7" x14ac:dyDescent="0.25">
      <c r="A120" s="10"/>
      <c r="B120" s="11"/>
      <c r="C120" s="11"/>
      <c r="D120" s="11"/>
      <c r="E120" s="12"/>
      <c r="F120" s="11"/>
      <c r="G120" s="14">
        <f>IF(A120="","",IF(A120&gt;=DATE(YEAR(A120),4,6),YEAR(A120)&amp;"-"&amp;RIGHT(YEAR(A120)+1,2),YEAR(A120)-1&amp;"-"&amp;RIGHT(YEAR(A120),2)))</f>
      </c>
    </row>
    <row r="121" spans="1:7" x14ac:dyDescent="0.25">
      <c r="A121" s="10"/>
      <c r="B121" s="11"/>
      <c r="C121" s="11"/>
      <c r="D121" s="11"/>
      <c r="E121" s="12"/>
      <c r="F121" s="11"/>
      <c r="G121" s="14">
        <f>IF(A121="","",IF(A121&gt;=DATE(YEAR(A121),4,6),YEAR(A121)&amp;"-"&amp;RIGHT(YEAR(A121)+1,2),YEAR(A121)-1&amp;"-"&amp;RIGHT(YEAR(A121),2)))</f>
      </c>
    </row>
    <row r="122" spans="1:7" x14ac:dyDescent="0.25">
      <c r="A122" s="10"/>
      <c r="B122" s="11"/>
      <c r="C122" s="11"/>
      <c r="D122" s="11"/>
      <c r="E122" s="12"/>
      <c r="F122" s="11"/>
      <c r="G122" s="14">
        <f>IF(A122="","",IF(A122&gt;=DATE(YEAR(A122),4,6),YEAR(A122)&amp;"-"&amp;RIGHT(YEAR(A122)+1,2),YEAR(A122)-1&amp;"-"&amp;RIGHT(YEAR(A122),2)))</f>
      </c>
    </row>
    <row r="123" spans="1:7" x14ac:dyDescent="0.25">
      <c r="A123" s="10"/>
      <c r="B123" s="11"/>
      <c r="C123" s="11"/>
      <c r="D123" s="11"/>
      <c r="E123" s="12"/>
      <c r="F123" s="11"/>
      <c r="G123" s="14">
        <f>IF(A123="","",IF(A123&gt;=DATE(YEAR(A123),4,6),YEAR(A123)&amp;"-"&amp;RIGHT(YEAR(A123)+1,2),YEAR(A123)-1&amp;"-"&amp;RIGHT(YEAR(A123),2)))</f>
      </c>
    </row>
    <row r="124" spans="1:7" x14ac:dyDescent="0.25">
      <c r="A124" s="10"/>
      <c r="B124" s="11"/>
      <c r="C124" s="11"/>
      <c r="D124" s="11"/>
      <c r="E124" s="12"/>
      <c r="F124" s="11"/>
      <c r="G124" s="14">
        <f>IF(A124="","",IF(A124&gt;=DATE(YEAR(A124),4,6),YEAR(A124)&amp;"-"&amp;RIGHT(YEAR(A124)+1,2),YEAR(A124)-1&amp;"-"&amp;RIGHT(YEAR(A124),2)))</f>
      </c>
    </row>
    <row r="125" spans="1:7" x14ac:dyDescent="0.25">
      <c r="A125" s="10"/>
      <c r="B125" s="11"/>
      <c r="C125" s="11"/>
      <c r="D125" s="11"/>
      <c r="E125" s="12"/>
      <c r="F125" s="11"/>
      <c r="G125" s="14">
        <f>IF(A125="","",IF(A125&gt;=DATE(YEAR(A125),4,6),YEAR(A125)&amp;"-"&amp;RIGHT(YEAR(A125)+1,2),YEAR(A125)-1&amp;"-"&amp;RIGHT(YEAR(A125),2)))</f>
      </c>
    </row>
    <row r="126" spans="1:7" x14ac:dyDescent="0.25">
      <c r="A126" s="10"/>
      <c r="B126" s="11"/>
      <c r="C126" s="11"/>
      <c r="D126" s="11"/>
      <c r="E126" s="12"/>
      <c r="F126" s="11"/>
      <c r="G126" s="14">
        <f>IF(A126="","",IF(A126&gt;=DATE(YEAR(A126),4,6),YEAR(A126)&amp;"-"&amp;RIGHT(YEAR(A126)+1,2),YEAR(A126)-1&amp;"-"&amp;RIGHT(YEAR(A126),2)))</f>
      </c>
    </row>
    <row r="127" spans="1:7" x14ac:dyDescent="0.25">
      <c r="A127" s="10"/>
      <c r="B127" s="11"/>
      <c r="C127" s="11"/>
      <c r="D127" s="11"/>
      <c r="E127" s="12"/>
      <c r="F127" s="11"/>
      <c r="G127" s="14">
        <f>IF(A127="","",IF(A127&gt;=DATE(YEAR(A127),4,6),YEAR(A127)&amp;"-"&amp;RIGHT(YEAR(A127)+1,2),YEAR(A127)-1&amp;"-"&amp;RIGHT(YEAR(A127),2)))</f>
      </c>
    </row>
    <row r="128" spans="1:7" x14ac:dyDescent="0.25">
      <c r="A128" s="10"/>
      <c r="B128" s="11"/>
      <c r="C128" s="11"/>
      <c r="D128" s="11"/>
      <c r="E128" s="12"/>
      <c r="F128" s="11"/>
      <c r="G128" s="14">
        <f>IF(A128="","",IF(A128&gt;=DATE(YEAR(A128),4,6),YEAR(A128)&amp;"-"&amp;RIGHT(YEAR(A128)+1,2),YEAR(A128)-1&amp;"-"&amp;RIGHT(YEAR(A128),2)))</f>
      </c>
    </row>
    <row r="129" spans="1:7" x14ac:dyDescent="0.25">
      <c r="A129" s="10"/>
      <c r="B129" s="11"/>
      <c r="C129" s="11"/>
      <c r="D129" s="11"/>
      <c r="E129" s="12"/>
      <c r="F129" s="11"/>
      <c r="G129" s="14">
        <f>IF(A129="","",IF(A129&gt;=DATE(YEAR(A129),4,6),YEAR(A129)&amp;"-"&amp;RIGHT(YEAR(A129)+1,2),YEAR(A129)-1&amp;"-"&amp;RIGHT(YEAR(A129),2)))</f>
      </c>
    </row>
    <row r="130" spans="1:7" x14ac:dyDescent="0.25">
      <c r="A130" s="10"/>
      <c r="B130" s="11"/>
      <c r="C130" s="11"/>
      <c r="D130" s="11"/>
      <c r="E130" s="12"/>
      <c r="F130" s="11"/>
      <c r="G130" s="14">
        <f>IF(A130="","",IF(A130&gt;=DATE(YEAR(A130),4,6),YEAR(A130)&amp;"-"&amp;RIGHT(YEAR(A130)+1,2),YEAR(A130)-1&amp;"-"&amp;RIGHT(YEAR(A130),2)))</f>
      </c>
    </row>
    <row r="131" spans="1:7" x14ac:dyDescent="0.25">
      <c r="A131" s="10"/>
      <c r="B131" s="11"/>
      <c r="C131" s="11"/>
      <c r="D131" s="11"/>
      <c r="E131" s="12"/>
      <c r="F131" s="11"/>
      <c r="G131" s="14">
        <f>IF(A131="","",IF(A131&gt;=DATE(YEAR(A131),4,6),YEAR(A131)&amp;"-"&amp;RIGHT(YEAR(A131)+1,2),YEAR(A131)-1&amp;"-"&amp;RIGHT(YEAR(A131),2)))</f>
      </c>
    </row>
    <row r="132" spans="1:7" x14ac:dyDescent="0.25">
      <c r="A132" s="10"/>
      <c r="B132" s="11"/>
      <c r="C132" s="11"/>
      <c r="D132" s="11"/>
      <c r="E132" s="12"/>
      <c r="F132" s="11"/>
      <c r="G132" s="14">
        <f>IF(A132="","",IF(A132&gt;=DATE(YEAR(A132),4,6),YEAR(A132)&amp;"-"&amp;RIGHT(YEAR(A132)+1,2),YEAR(A132)-1&amp;"-"&amp;RIGHT(YEAR(A132),2)))</f>
      </c>
    </row>
    <row r="133" spans="1:7" x14ac:dyDescent="0.25">
      <c r="A133" s="10"/>
      <c r="B133" s="11"/>
      <c r="C133" s="11"/>
      <c r="D133" s="11"/>
      <c r="E133" s="12"/>
      <c r="F133" s="11"/>
      <c r="G133" s="14">
        <f>IF(A133="","",IF(A133&gt;=DATE(YEAR(A133),4,6),YEAR(A133)&amp;"-"&amp;RIGHT(YEAR(A133)+1,2),YEAR(A133)-1&amp;"-"&amp;RIGHT(YEAR(A133),2)))</f>
      </c>
    </row>
    <row r="134" spans="1:7" x14ac:dyDescent="0.25">
      <c r="A134" s="10"/>
      <c r="B134" s="11"/>
      <c r="C134" s="11"/>
      <c r="D134" s="11"/>
      <c r="E134" s="12"/>
      <c r="F134" s="11"/>
      <c r="G134" s="14">
        <f>IF(A134="","",IF(A134&gt;=DATE(YEAR(A134),4,6),YEAR(A134)&amp;"-"&amp;RIGHT(YEAR(A134)+1,2),YEAR(A134)-1&amp;"-"&amp;RIGHT(YEAR(A134),2)))</f>
      </c>
    </row>
    <row r="135" spans="1:7" x14ac:dyDescent="0.25">
      <c r="A135" s="10"/>
      <c r="B135" s="11"/>
      <c r="C135" s="11"/>
      <c r="D135" s="11"/>
      <c r="E135" s="12"/>
      <c r="F135" s="11"/>
      <c r="G135" s="14">
        <f>IF(A135="","",IF(A135&gt;=DATE(YEAR(A135),4,6),YEAR(A135)&amp;"-"&amp;RIGHT(YEAR(A135)+1,2),YEAR(A135)-1&amp;"-"&amp;RIGHT(YEAR(A135),2)))</f>
      </c>
    </row>
    <row r="136" spans="1:7" x14ac:dyDescent="0.25">
      <c r="A136" s="10"/>
      <c r="B136" s="11"/>
      <c r="C136" s="11"/>
      <c r="D136" s="11"/>
      <c r="E136" s="12"/>
      <c r="F136" s="11"/>
      <c r="G136" s="14">
        <f>IF(A136="","",IF(A136&gt;=DATE(YEAR(A136),4,6),YEAR(A136)&amp;"-"&amp;RIGHT(YEAR(A136)+1,2),YEAR(A136)-1&amp;"-"&amp;RIGHT(YEAR(A136),2)))</f>
      </c>
    </row>
    <row r="137" spans="1:7" x14ac:dyDescent="0.25">
      <c r="A137" s="10"/>
      <c r="B137" s="11"/>
      <c r="C137" s="11"/>
      <c r="D137" s="11"/>
      <c r="E137" s="12"/>
      <c r="F137" s="11"/>
      <c r="G137" s="14">
        <f>IF(A137="","",IF(A137&gt;=DATE(YEAR(A137),4,6),YEAR(A137)&amp;"-"&amp;RIGHT(YEAR(A137)+1,2),YEAR(A137)-1&amp;"-"&amp;RIGHT(YEAR(A137),2)))</f>
      </c>
    </row>
    <row r="138" spans="1:7" x14ac:dyDescent="0.25">
      <c r="A138" s="10"/>
      <c r="B138" s="11"/>
      <c r="C138" s="11"/>
      <c r="D138" s="11"/>
      <c r="E138" s="12"/>
      <c r="F138" s="11"/>
      <c r="G138" s="14">
        <f>IF(A138="","",IF(A138&gt;=DATE(YEAR(A138),4,6),YEAR(A138)&amp;"-"&amp;RIGHT(YEAR(A138)+1,2),YEAR(A138)-1&amp;"-"&amp;RIGHT(YEAR(A138),2)))</f>
      </c>
    </row>
    <row r="139" spans="1:7" x14ac:dyDescent="0.25">
      <c r="A139" s="10"/>
      <c r="B139" s="11"/>
      <c r="C139" s="11"/>
      <c r="D139" s="11"/>
      <c r="E139" s="12"/>
      <c r="F139" s="11"/>
      <c r="G139" s="14">
        <f>IF(A139="","",IF(A139&gt;=DATE(YEAR(A139),4,6),YEAR(A139)&amp;"-"&amp;RIGHT(YEAR(A139)+1,2),YEAR(A139)-1&amp;"-"&amp;RIGHT(YEAR(A139),2)))</f>
      </c>
    </row>
    <row r="140" spans="1:7" x14ac:dyDescent="0.25">
      <c r="A140" s="10"/>
      <c r="B140" s="11"/>
      <c r="C140" s="11"/>
      <c r="D140" s="11"/>
      <c r="E140" s="12"/>
      <c r="F140" s="11"/>
      <c r="G140" s="14">
        <f>IF(A140="","",IF(A140&gt;=DATE(YEAR(A140),4,6),YEAR(A140)&amp;"-"&amp;RIGHT(YEAR(A140)+1,2),YEAR(A140)-1&amp;"-"&amp;RIGHT(YEAR(A140),2)))</f>
      </c>
    </row>
    <row r="141" spans="1:7" x14ac:dyDescent="0.25">
      <c r="A141" s="10"/>
      <c r="B141" s="11"/>
      <c r="C141" s="11"/>
      <c r="D141" s="11"/>
      <c r="E141" s="12"/>
      <c r="F141" s="11"/>
      <c r="G141" s="14">
        <f>IF(A141="","",IF(A141&gt;=DATE(YEAR(A141),4,6),YEAR(A141)&amp;"-"&amp;RIGHT(YEAR(A141)+1,2),YEAR(A141)-1&amp;"-"&amp;RIGHT(YEAR(A141),2)))</f>
      </c>
    </row>
    <row r="142" spans="1:7" x14ac:dyDescent="0.25">
      <c r="A142" s="10"/>
      <c r="B142" s="11"/>
      <c r="C142" s="11"/>
      <c r="D142" s="11"/>
      <c r="E142" s="12"/>
      <c r="F142" s="11"/>
      <c r="G142" s="14">
        <f>IF(A142="","",IF(A142&gt;=DATE(YEAR(A142),4,6),YEAR(A142)&amp;"-"&amp;RIGHT(YEAR(A142)+1,2),YEAR(A142)-1&amp;"-"&amp;RIGHT(YEAR(A142),2)))</f>
      </c>
    </row>
    <row r="143" spans="1:7" x14ac:dyDescent="0.25">
      <c r="A143" s="10"/>
      <c r="B143" s="11"/>
      <c r="C143" s="11"/>
      <c r="D143" s="11"/>
      <c r="E143" s="12"/>
      <c r="F143" s="11"/>
      <c r="G143" s="14">
        <f>IF(A143="","",IF(A143&gt;=DATE(YEAR(A143),4,6),YEAR(A143)&amp;"-"&amp;RIGHT(YEAR(A143)+1,2),YEAR(A143)-1&amp;"-"&amp;RIGHT(YEAR(A143),2)))</f>
      </c>
    </row>
    <row r="144" spans="1:7" x14ac:dyDescent="0.25">
      <c r="A144" s="10"/>
      <c r="B144" s="11"/>
      <c r="C144" s="11"/>
      <c r="D144" s="11"/>
      <c r="E144" s="12"/>
      <c r="F144" s="11"/>
      <c r="G144" s="14">
        <f>IF(A144="","",IF(A144&gt;=DATE(YEAR(A144),4,6),YEAR(A144)&amp;"-"&amp;RIGHT(YEAR(A144)+1,2),YEAR(A144)-1&amp;"-"&amp;RIGHT(YEAR(A144),2)))</f>
      </c>
    </row>
    <row r="145" spans="1:7" x14ac:dyDescent="0.25">
      <c r="A145" s="10"/>
      <c r="B145" s="11"/>
      <c r="C145" s="11"/>
      <c r="D145" s="11"/>
      <c r="E145" s="12"/>
      <c r="F145" s="11"/>
      <c r="G145" s="14">
        <f>IF(A145="","",IF(A145&gt;=DATE(YEAR(A145),4,6),YEAR(A145)&amp;"-"&amp;RIGHT(YEAR(A145)+1,2),YEAR(A145)-1&amp;"-"&amp;RIGHT(YEAR(A145),2)))</f>
      </c>
    </row>
    <row r="146" spans="1:7" x14ac:dyDescent="0.25">
      <c r="A146" s="10"/>
      <c r="B146" s="11"/>
      <c r="C146" s="11"/>
      <c r="D146" s="11"/>
      <c r="E146" s="12"/>
      <c r="F146" s="11"/>
      <c r="G146" s="14">
        <f>IF(A146="","",IF(A146&gt;=DATE(YEAR(A146),4,6),YEAR(A146)&amp;"-"&amp;RIGHT(YEAR(A146)+1,2),YEAR(A146)-1&amp;"-"&amp;RIGHT(YEAR(A146),2)))</f>
      </c>
    </row>
    <row r="147" spans="1:7" x14ac:dyDescent="0.25">
      <c r="A147" s="10"/>
      <c r="B147" s="11"/>
      <c r="C147" s="11"/>
      <c r="D147" s="11"/>
      <c r="E147" s="12"/>
      <c r="F147" s="11"/>
      <c r="G147" s="14">
        <f>IF(A147="","",IF(A147&gt;=DATE(YEAR(A147),4,6),YEAR(A147)&amp;"-"&amp;RIGHT(YEAR(A147)+1,2),YEAR(A147)-1&amp;"-"&amp;RIGHT(YEAR(A147),2)))</f>
      </c>
    </row>
    <row r="148" spans="1:7" x14ac:dyDescent="0.25">
      <c r="A148" s="10"/>
      <c r="B148" s="11"/>
      <c r="C148" s="11"/>
      <c r="D148" s="11"/>
      <c r="E148" s="12"/>
      <c r="F148" s="11"/>
      <c r="G148" s="14">
        <f>IF(A148="","",IF(A148&gt;=DATE(YEAR(A148),4,6),YEAR(A148)&amp;"-"&amp;RIGHT(YEAR(A148)+1,2),YEAR(A148)-1&amp;"-"&amp;RIGHT(YEAR(A148),2)))</f>
      </c>
    </row>
    <row r="149" spans="1:7" x14ac:dyDescent="0.25">
      <c r="A149" s="10"/>
      <c r="B149" s="11"/>
      <c r="C149" s="11"/>
      <c r="D149" s="11"/>
      <c r="E149" s="12"/>
      <c r="F149" s="11"/>
      <c r="G149" s="14">
        <f>IF(A149="","",IF(A149&gt;=DATE(YEAR(A149),4,6),YEAR(A149)&amp;"-"&amp;RIGHT(YEAR(A149)+1,2),YEAR(A149)-1&amp;"-"&amp;RIGHT(YEAR(A149),2)))</f>
      </c>
    </row>
    <row r="150" spans="1:7" x14ac:dyDescent="0.25">
      <c r="A150" s="10"/>
      <c r="B150" s="11"/>
      <c r="C150" s="11"/>
      <c r="D150" s="11"/>
      <c r="E150" s="12"/>
      <c r="F150" s="11"/>
      <c r="G150" s="14">
        <f>IF(A150="","",IF(A150&gt;=DATE(YEAR(A150),4,6),YEAR(A150)&amp;"-"&amp;RIGHT(YEAR(A150)+1,2),YEAR(A150)-1&amp;"-"&amp;RIGHT(YEAR(A150),2)))</f>
      </c>
    </row>
    <row r="151" spans="1:7" x14ac:dyDescent="0.25">
      <c r="A151" s="10"/>
      <c r="B151" s="11"/>
      <c r="C151" s="11"/>
      <c r="D151" s="11"/>
      <c r="E151" s="12"/>
      <c r="F151" s="11"/>
      <c r="G151" s="14">
        <f>IF(A151="","",IF(A151&gt;=DATE(YEAR(A151),4,6),YEAR(A151)&amp;"-"&amp;RIGHT(YEAR(A151)+1,2),YEAR(A151)-1&amp;"-"&amp;RIGHT(YEAR(A151),2)))</f>
      </c>
    </row>
    <row r="152" spans="1:7" x14ac:dyDescent="0.25">
      <c r="A152" s="10"/>
      <c r="B152" s="11"/>
      <c r="C152" s="11"/>
      <c r="D152" s="11"/>
      <c r="E152" s="12"/>
      <c r="F152" s="11"/>
      <c r="G152" s="14">
        <f>IF(A152="","",IF(A152&gt;=DATE(YEAR(A152),4,6),YEAR(A152)&amp;"-"&amp;RIGHT(YEAR(A152)+1,2),YEAR(A152)-1&amp;"-"&amp;RIGHT(YEAR(A152),2)))</f>
      </c>
    </row>
    <row r="153" spans="1:7" x14ac:dyDescent="0.25">
      <c r="A153" s="10"/>
      <c r="B153" s="11"/>
      <c r="C153" s="11"/>
      <c r="D153" s="11"/>
      <c r="E153" s="12"/>
      <c r="F153" s="11"/>
      <c r="G153" s="14">
        <f>IF(A153="","",IF(A153&gt;=DATE(YEAR(A153),4,6),YEAR(A153)&amp;"-"&amp;RIGHT(YEAR(A153)+1,2),YEAR(A153)-1&amp;"-"&amp;RIGHT(YEAR(A153),2)))</f>
      </c>
    </row>
    <row r="154" spans="1:7" x14ac:dyDescent="0.25">
      <c r="A154" s="10"/>
      <c r="B154" s="11"/>
      <c r="C154" s="11"/>
      <c r="D154" s="11"/>
      <c r="E154" s="12"/>
      <c r="F154" s="11"/>
      <c r="G154" s="14">
        <f>IF(A154="","",IF(A154&gt;=DATE(YEAR(A154),4,6),YEAR(A154)&amp;"-"&amp;RIGHT(YEAR(A154)+1,2),YEAR(A154)-1&amp;"-"&amp;RIGHT(YEAR(A154),2)))</f>
      </c>
    </row>
    <row r="155" spans="1:7" x14ac:dyDescent="0.25">
      <c r="A155" s="10"/>
      <c r="B155" s="11"/>
      <c r="C155" s="11"/>
      <c r="D155" s="11"/>
      <c r="E155" s="12"/>
      <c r="F155" s="11"/>
      <c r="G155" s="14">
        <f>IF(A155="","",IF(A155&gt;=DATE(YEAR(A155),4,6),YEAR(A155)&amp;"-"&amp;RIGHT(YEAR(A155)+1,2),YEAR(A155)-1&amp;"-"&amp;RIGHT(YEAR(A155),2)))</f>
      </c>
    </row>
    <row r="156" spans="1:7" x14ac:dyDescent="0.25">
      <c r="A156" s="10"/>
      <c r="B156" s="11"/>
      <c r="C156" s="11"/>
      <c r="D156" s="11"/>
      <c r="E156" s="12"/>
      <c r="F156" s="11"/>
      <c r="G156" s="14">
        <f>IF(A156="","",IF(A156&gt;=DATE(YEAR(A156),4,6),YEAR(A156)&amp;"-"&amp;RIGHT(YEAR(A156)+1,2),YEAR(A156)-1&amp;"-"&amp;RIGHT(YEAR(A156),2)))</f>
      </c>
    </row>
    <row r="157" spans="1:7" x14ac:dyDescent="0.25">
      <c r="A157" s="10"/>
      <c r="B157" s="11"/>
      <c r="C157" s="11"/>
      <c r="D157" s="11"/>
      <c r="E157" s="12"/>
      <c r="F157" s="11"/>
      <c r="G157" s="14">
        <f>IF(A157="","",IF(A157&gt;=DATE(YEAR(A157),4,6),YEAR(A157)&amp;"-"&amp;RIGHT(YEAR(A157)+1,2),YEAR(A157)-1&amp;"-"&amp;RIGHT(YEAR(A157),2)))</f>
      </c>
    </row>
    <row r="158" spans="1:7" x14ac:dyDescent="0.25">
      <c r="A158" s="10"/>
      <c r="B158" s="11"/>
      <c r="C158" s="11"/>
      <c r="D158" s="11"/>
      <c r="E158" s="12"/>
      <c r="F158" s="11"/>
      <c r="G158" s="14">
        <f>IF(A158="","",IF(A158&gt;=DATE(YEAR(A158),4,6),YEAR(A158)&amp;"-"&amp;RIGHT(YEAR(A158)+1,2),YEAR(A158)-1&amp;"-"&amp;RIGHT(YEAR(A158),2)))</f>
      </c>
    </row>
    <row r="159" spans="1:7" x14ac:dyDescent="0.25">
      <c r="A159" s="10"/>
      <c r="B159" s="11"/>
      <c r="C159" s="11"/>
      <c r="D159" s="11"/>
      <c r="E159" s="12"/>
      <c r="F159" s="11"/>
      <c r="G159" s="14">
        <f>IF(A159="","",IF(A159&gt;=DATE(YEAR(A159),4,6),YEAR(A159)&amp;"-"&amp;RIGHT(YEAR(A159)+1,2),YEAR(A159)-1&amp;"-"&amp;RIGHT(YEAR(A159),2)))</f>
      </c>
    </row>
    <row r="160" spans="1:7" x14ac:dyDescent="0.25">
      <c r="A160" s="10"/>
      <c r="B160" s="11"/>
      <c r="C160" s="11"/>
      <c r="D160" s="11"/>
      <c r="E160" s="12"/>
      <c r="F160" s="11"/>
      <c r="G160" s="14">
        <f>IF(A160="","",IF(A160&gt;=DATE(YEAR(A160),4,6),YEAR(A160)&amp;"-"&amp;RIGHT(YEAR(A160)+1,2),YEAR(A160)-1&amp;"-"&amp;RIGHT(YEAR(A160),2)))</f>
      </c>
    </row>
    <row r="161" spans="1:7" x14ac:dyDescent="0.25">
      <c r="A161" s="10"/>
      <c r="B161" s="11"/>
      <c r="C161" s="11"/>
      <c r="D161" s="11"/>
      <c r="E161" s="12"/>
      <c r="F161" s="11"/>
      <c r="G161" s="14">
        <f>IF(A161="","",IF(A161&gt;=DATE(YEAR(A161),4,6),YEAR(A161)&amp;"-"&amp;RIGHT(YEAR(A161)+1,2),YEAR(A161)-1&amp;"-"&amp;RIGHT(YEAR(A161),2)))</f>
      </c>
    </row>
    <row r="162" spans="1:7" x14ac:dyDescent="0.25">
      <c r="A162" s="10"/>
      <c r="B162" s="11"/>
      <c r="C162" s="11"/>
      <c r="D162" s="11"/>
      <c r="E162" s="12"/>
      <c r="F162" s="11"/>
      <c r="G162" s="14">
        <f>IF(A162="","",IF(A162&gt;=DATE(YEAR(A162),4,6),YEAR(A162)&amp;"-"&amp;RIGHT(YEAR(A162)+1,2),YEAR(A162)-1&amp;"-"&amp;RIGHT(YEAR(A162),2)))</f>
      </c>
    </row>
    <row r="163" spans="1:7" x14ac:dyDescent="0.25">
      <c r="A163" s="10"/>
      <c r="B163" s="11"/>
      <c r="C163" s="11"/>
      <c r="D163" s="11"/>
      <c r="E163" s="12"/>
      <c r="F163" s="11"/>
      <c r="G163" s="14">
        <f>IF(A163="","",IF(A163&gt;=DATE(YEAR(A163),4,6),YEAR(A163)&amp;"-"&amp;RIGHT(YEAR(A163)+1,2),YEAR(A163)-1&amp;"-"&amp;RIGHT(YEAR(A163),2)))</f>
      </c>
    </row>
    <row r="164" spans="1:7" x14ac:dyDescent="0.25">
      <c r="A164" s="10"/>
      <c r="B164" s="11"/>
      <c r="C164" s="11"/>
      <c r="D164" s="11"/>
      <c r="E164" s="12"/>
      <c r="F164" s="11"/>
      <c r="G164" s="14">
        <f>IF(A164="","",IF(A164&gt;=DATE(YEAR(A164),4,6),YEAR(A164)&amp;"-"&amp;RIGHT(YEAR(A164)+1,2),YEAR(A164)-1&amp;"-"&amp;RIGHT(YEAR(A164),2)))</f>
      </c>
    </row>
    <row r="165" spans="1:7" x14ac:dyDescent="0.25">
      <c r="A165" s="10"/>
      <c r="B165" s="11"/>
      <c r="C165" s="11"/>
      <c r="D165" s="11"/>
      <c r="E165" s="12"/>
      <c r="F165" s="11"/>
      <c r="G165" s="14">
        <f>IF(A165="","",IF(A165&gt;=DATE(YEAR(A165),4,6),YEAR(A165)&amp;"-"&amp;RIGHT(YEAR(A165)+1,2),YEAR(A165)-1&amp;"-"&amp;RIGHT(YEAR(A165),2)))</f>
      </c>
    </row>
    <row r="166" spans="1:7" x14ac:dyDescent="0.25">
      <c r="A166" s="10"/>
      <c r="B166" s="11"/>
      <c r="C166" s="11"/>
      <c r="D166" s="11"/>
      <c r="E166" s="12"/>
      <c r="F166" s="11"/>
      <c r="G166" s="14">
        <f>IF(A166="","",IF(A166&gt;=DATE(YEAR(A166),4,6),YEAR(A166)&amp;"-"&amp;RIGHT(YEAR(A166)+1,2),YEAR(A166)-1&amp;"-"&amp;RIGHT(YEAR(A166),2)))</f>
      </c>
    </row>
    <row r="167" spans="1:7" x14ac:dyDescent="0.25">
      <c r="A167" s="10"/>
      <c r="B167" s="11"/>
      <c r="C167" s="11"/>
      <c r="D167" s="11"/>
      <c r="E167" s="12"/>
      <c r="F167" s="11"/>
      <c r="G167" s="14">
        <f>IF(A167="","",IF(A167&gt;=DATE(YEAR(A167),4,6),YEAR(A167)&amp;"-"&amp;RIGHT(YEAR(A167)+1,2),YEAR(A167)-1&amp;"-"&amp;RIGHT(YEAR(A167),2)))</f>
      </c>
    </row>
    <row r="168" spans="1:7" x14ac:dyDescent="0.25">
      <c r="A168" s="10"/>
      <c r="B168" s="11"/>
      <c r="C168" s="11"/>
      <c r="D168" s="11"/>
      <c r="E168" s="12"/>
      <c r="F168" s="11"/>
      <c r="G168" s="14">
        <f>IF(A168="","",IF(A168&gt;=DATE(YEAR(A168),4,6),YEAR(A168)&amp;"-"&amp;RIGHT(YEAR(A168)+1,2),YEAR(A168)-1&amp;"-"&amp;RIGHT(YEAR(A168),2)))</f>
      </c>
    </row>
    <row r="169" spans="1:7" x14ac:dyDescent="0.25">
      <c r="A169" s="10"/>
      <c r="B169" s="11"/>
      <c r="C169" s="11"/>
      <c r="D169" s="11"/>
      <c r="E169" s="12"/>
      <c r="F169" s="11"/>
      <c r="G169" s="14">
        <f>IF(A169="","",IF(A169&gt;=DATE(YEAR(A169),4,6),YEAR(A169)&amp;"-"&amp;RIGHT(YEAR(A169)+1,2),YEAR(A169)-1&amp;"-"&amp;RIGHT(YEAR(A169),2)))</f>
      </c>
    </row>
    <row r="170" spans="1:7" x14ac:dyDescent="0.25">
      <c r="A170" s="10"/>
      <c r="B170" s="11"/>
      <c r="C170" s="11"/>
      <c r="D170" s="11"/>
      <c r="E170" s="12"/>
      <c r="F170" s="11"/>
      <c r="G170" s="14">
        <f>IF(A170="","",IF(A170&gt;=DATE(YEAR(A170),4,6),YEAR(A170)&amp;"-"&amp;RIGHT(YEAR(A170)+1,2),YEAR(A170)-1&amp;"-"&amp;RIGHT(YEAR(A170),2)))</f>
      </c>
    </row>
    <row r="171" spans="1:7" x14ac:dyDescent="0.25">
      <c r="A171" s="10"/>
      <c r="B171" s="11"/>
      <c r="C171" s="11"/>
      <c r="D171" s="11"/>
      <c r="E171" s="12"/>
      <c r="F171" s="11"/>
      <c r="G171" s="14">
        <f>IF(A171="","",IF(A171&gt;=DATE(YEAR(A171),4,6),YEAR(A171)&amp;"-"&amp;RIGHT(YEAR(A171)+1,2),YEAR(A171)-1&amp;"-"&amp;RIGHT(YEAR(A171),2)))</f>
      </c>
    </row>
    <row r="172" spans="1:7" x14ac:dyDescent="0.25">
      <c r="A172" s="10"/>
      <c r="B172" s="11"/>
      <c r="C172" s="11"/>
      <c r="D172" s="11"/>
      <c r="E172" s="12"/>
      <c r="F172" s="11"/>
      <c r="G172" s="14">
        <f>IF(A172="","",IF(A172&gt;=DATE(YEAR(A172),4,6),YEAR(A172)&amp;"-"&amp;RIGHT(YEAR(A172)+1,2),YEAR(A172)-1&amp;"-"&amp;RIGHT(YEAR(A172),2)))</f>
      </c>
    </row>
    <row r="173" spans="1:7" x14ac:dyDescent="0.25">
      <c r="A173" s="10"/>
      <c r="B173" s="11"/>
      <c r="C173" s="11"/>
      <c r="D173" s="11"/>
      <c r="E173" s="12"/>
      <c r="F173" s="11"/>
      <c r="G173" s="14">
        <f>IF(A173="","",IF(A173&gt;=DATE(YEAR(A173),4,6),YEAR(A173)&amp;"-"&amp;RIGHT(YEAR(A173)+1,2),YEAR(A173)-1&amp;"-"&amp;RIGHT(YEAR(A173),2)))</f>
      </c>
    </row>
    <row r="174" spans="1:7" x14ac:dyDescent="0.25">
      <c r="A174" s="10"/>
      <c r="B174" s="11"/>
      <c r="C174" s="11"/>
      <c r="D174" s="11"/>
      <c r="E174" s="12"/>
      <c r="F174" s="11"/>
      <c r="G174" s="14">
        <f>IF(A174="","",IF(A174&gt;=DATE(YEAR(A174),4,6),YEAR(A174)&amp;"-"&amp;RIGHT(YEAR(A174)+1,2),YEAR(A174)-1&amp;"-"&amp;RIGHT(YEAR(A174),2)))</f>
      </c>
    </row>
    <row r="175" spans="1:7" x14ac:dyDescent="0.25">
      <c r="A175" s="10"/>
      <c r="B175" s="11"/>
      <c r="C175" s="11"/>
      <c r="D175" s="11"/>
      <c r="E175" s="12"/>
      <c r="F175" s="11"/>
      <c r="G175" s="14">
        <f>IF(A175="","",IF(A175&gt;=DATE(YEAR(A175),4,6),YEAR(A175)&amp;"-"&amp;RIGHT(YEAR(A175)+1,2),YEAR(A175)-1&amp;"-"&amp;RIGHT(YEAR(A175),2)))</f>
      </c>
    </row>
    <row r="176" spans="1:7" x14ac:dyDescent="0.25">
      <c r="A176" s="10"/>
      <c r="B176" s="11"/>
      <c r="C176" s="11"/>
      <c r="D176" s="11"/>
      <c r="E176" s="12"/>
      <c r="F176" s="11"/>
      <c r="G176" s="14">
        <f>IF(A176="","",IF(A176&gt;=DATE(YEAR(A176),4,6),YEAR(A176)&amp;"-"&amp;RIGHT(YEAR(A176)+1,2),YEAR(A176)-1&amp;"-"&amp;RIGHT(YEAR(A176),2)))</f>
      </c>
    </row>
    <row r="177" spans="1:7" x14ac:dyDescent="0.25">
      <c r="A177" s="10"/>
      <c r="B177" s="11"/>
      <c r="C177" s="11"/>
      <c r="D177" s="11"/>
      <c r="E177" s="12"/>
      <c r="F177" s="11"/>
      <c r="G177" s="14">
        <f>IF(A177="","",IF(A177&gt;=DATE(YEAR(A177),4,6),YEAR(A177)&amp;"-"&amp;RIGHT(YEAR(A177)+1,2),YEAR(A177)-1&amp;"-"&amp;RIGHT(YEAR(A177),2)))</f>
      </c>
    </row>
    <row r="178" spans="1:7" x14ac:dyDescent="0.25">
      <c r="A178" s="10"/>
      <c r="B178" s="11"/>
      <c r="C178" s="11"/>
      <c r="D178" s="11"/>
      <c r="E178" s="12"/>
      <c r="F178" s="11"/>
      <c r="G178" s="14">
        <f>IF(A178="","",IF(A178&gt;=DATE(YEAR(A178),4,6),YEAR(A178)&amp;"-"&amp;RIGHT(YEAR(A178)+1,2),YEAR(A178)-1&amp;"-"&amp;RIGHT(YEAR(A178),2)))</f>
      </c>
    </row>
    <row r="179" spans="1:7" x14ac:dyDescent="0.25">
      <c r="A179" s="10"/>
      <c r="B179" s="11"/>
      <c r="C179" s="11"/>
      <c r="D179" s="11"/>
      <c r="E179" s="12"/>
      <c r="F179" s="11"/>
      <c r="G179" s="14">
        <f>IF(A179="","",IF(A179&gt;=DATE(YEAR(A179),4,6),YEAR(A179)&amp;"-"&amp;RIGHT(YEAR(A179)+1,2),YEAR(A179)-1&amp;"-"&amp;RIGHT(YEAR(A179),2)))</f>
      </c>
    </row>
    <row r="180" spans="1:7" x14ac:dyDescent="0.25">
      <c r="A180" s="10"/>
      <c r="B180" s="11"/>
      <c r="C180" s="11"/>
      <c r="D180" s="11"/>
      <c r="E180" s="12"/>
      <c r="F180" s="11"/>
      <c r="G180" s="14">
        <f>IF(A180="","",IF(A180&gt;=DATE(YEAR(A180),4,6),YEAR(A180)&amp;"-"&amp;RIGHT(YEAR(A180)+1,2),YEAR(A180)-1&amp;"-"&amp;RIGHT(YEAR(A180),2)))</f>
      </c>
    </row>
    <row r="181" spans="1:7" x14ac:dyDescent="0.25">
      <c r="A181" s="10"/>
      <c r="B181" s="11"/>
      <c r="C181" s="11"/>
      <c r="D181" s="11"/>
      <c r="E181" s="12"/>
      <c r="F181" s="11"/>
      <c r="G181" s="14">
        <f>IF(A181="","",IF(A181&gt;=DATE(YEAR(A181),4,6),YEAR(A181)&amp;"-"&amp;RIGHT(YEAR(A181)+1,2),YEAR(A181)-1&amp;"-"&amp;RIGHT(YEAR(A181),2)))</f>
      </c>
    </row>
    <row r="182" spans="1:7" x14ac:dyDescent="0.25">
      <c r="A182" s="10"/>
      <c r="B182" s="11"/>
      <c r="C182" s="11"/>
      <c r="D182" s="11"/>
      <c r="E182" s="12"/>
      <c r="F182" s="11"/>
      <c r="G182" s="14">
        <f>IF(A182="","",IF(A182&gt;=DATE(YEAR(A182),4,6),YEAR(A182)&amp;"-"&amp;RIGHT(YEAR(A182)+1,2),YEAR(A182)-1&amp;"-"&amp;RIGHT(YEAR(A182),2)))</f>
      </c>
    </row>
    <row r="183" spans="1:7" x14ac:dyDescent="0.25">
      <c r="A183" s="10"/>
      <c r="B183" s="11"/>
      <c r="C183" s="11"/>
      <c r="D183" s="11"/>
      <c r="E183" s="12"/>
      <c r="F183" s="11"/>
      <c r="G183" s="14">
        <f>IF(A183="","",IF(A183&gt;=DATE(YEAR(A183),4,6),YEAR(A183)&amp;"-"&amp;RIGHT(YEAR(A183)+1,2),YEAR(A183)-1&amp;"-"&amp;RIGHT(YEAR(A183),2)))</f>
      </c>
    </row>
    <row r="184" spans="1:7" x14ac:dyDescent="0.25">
      <c r="A184" s="10"/>
      <c r="B184" s="11"/>
      <c r="C184" s="11"/>
      <c r="D184" s="11"/>
      <c r="E184" s="12"/>
      <c r="F184" s="11"/>
      <c r="G184" s="14">
        <f>IF(A184="","",IF(A184&gt;=DATE(YEAR(A184),4,6),YEAR(A184)&amp;"-"&amp;RIGHT(YEAR(A184)+1,2),YEAR(A184)-1&amp;"-"&amp;RIGHT(YEAR(A184),2)))</f>
      </c>
    </row>
    <row r="185" spans="1:7" x14ac:dyDescent="0.25">
      <c r="A185" s="10"/>
      <c r="B185" s="11"/>
      <c r="C185" s="11"/>
      <c r="D185" s="11"/>
      <c r="E185" s="12"/>
      <c r="F185" s="11"/>
      <c r="G185" s="14">
        <f>IF(A185="","",IF(A185&gt;=DATE(YEAR(A185),4,6),YEAR(A185)&amp;"-"&amp;RIGHT(YEAR(A185)+1,2),YEAR(A185)-1&amp;"-"&amp;RIGHT(YEAR(A185),2)))</f>
      </c>
    </row>
    <row r="186" spans="1:7" x14ac:dyDescent="0.25">
      <c r="A186" s="10"/>
      <c r="B186" s="11"/>
      <c r="C186" s="11"/>
      <c r="D186" s="11"/>
      <c r="E186" s="12"/>
      <c r="F186" s="11"/>
      <c r="G186" s="14">
        <f>IF(A186="","",IF(A186&gt;=DATE(YEAR(A186),4,6),YEAR(A186)&amp;"-"&amp;RIGHT(YEAR(A186)+1,2),YEAR(A186)-1&amp;"-"&amp;RIGHT(YEAR(A186),2)))</f>
      </c>
    </row>
    <row r="187" spans="1:7" x14ac:dyDescent="0.25">
      <c r="A187" s="10"/>
      <c r="B187" s="11"/>
      <c r="C187" s="11"/>
      <c r="D187" s="11"/>
      <c r="E187" s="12"/>
      <c r="F187" s="11"/>
      <c r="G187" s="14">
        <f>IF(A187="","",IF(A187&gt;=DATE(YEAR(A187),4,6),YEAR(A187)&amp;"-"&amp;RIGHT(YEAR(A187)+1,2),YEAR(A187)-1&amp;"-"&amp;RIGHT(YEAR(A187),2)))</f>
      </c>
    </row>
    <row r="188" spans="1:7" x14ac:dyDescent="0.25">
      <c r="A188" s="10"/>
      <c r="B188" s="11"/>
      <c r="C188" s="11"/>
      <c r="D188" s="11"/>
      <c r="E188" s="12"/>
      <c r="F188" s="11"/>
      <c r="G188" s="14">
        <f>IF(A188="","",IF(A188&gt;=DATE(YEAR(A188),4,6),YEAR(A188)&amp;"-"&amp;RIGHT(YEAR(A188)+1,2),YEAR(A188)-1&amp;"-"&amp;RIGHT(YEAR(A188),2)))</f>
      </c>
    </row>
    <row r="189" spans="1:7" x14ac:dyDescent="0.25">
      <c r="A189" s="10"/>
      <c r="B189" s="11"/>
      <c r="C189" s="11"/>
      <c r="D189" s="11"/>
      <c r="E189" s="12"/>
      <c r="F189" s="11"/>
      <c r="G189" s="14">
        <f>IF(A189="","",IF(A189&gt;=DATE(YEAR(A189),4,6),YEAR(A189)&amp;"-"&amp;RIGHT(YEAR(A189)+1,2),YEAR(A189)-1&amp;"-"&amp;RIGHT(YEAR(A189),2)))</f>
      </c>
    </row>
    <row r="190" spans="1:7" x14ac:dyDescent="0.25">
      <c r="A190" s="10"/>
      <c r="B190" s="11"/>
      <c r="C190" s="11"/>
      <c r="D190" s="11"/>
      <c r="E190" s="12"/>
      <c r="F190" s="11"/>
      <c r="G190" s="14">
        <f>IF(A190="","",IF(A190&gt;=DATE(YEAR(A190),4,6),YEAR(A190)&amp;"-"&amp;RIGHT(YEAR(A190)+1,2),YEAR(A190)-1&amp;"-"&amp;RIGHT(YEAR(A190),2)))</f>
      </c>
    </row>
    <row r="191" spans="1:7" x14ac:dyDescent="0.25">
      <c r="A191" s="10"/>
      <c r="B191" s="11"/>
      <c r="C191" s="11"/>
      <c r="D191" s="11"/>
      <c r="E191" s="12"/>
      <c r="F191" s="11"/>
      <c r="G191" s="14">
        <f>IF(A191="","",IF(A191&gt;=DATE(YEAR(A191),4,6),YEAR(A191)&amp;"-"&amp;RIGHT(YEAR(A191)+1,2),YEAR(A191)-1&amp;"-"&amp;RIGHT(YEAR(A191),2)))</f>
      </c>
    </row>
    <row r="192" spans="1:7" x14ac:dyDescent="0.25">
      <c r="A192" s="10"/>
      <c r="B192" s="11"/>
      <c r="C192" s="11"/>
      <c r="D192" s="11"/>
      <c r="E192" s="12"/>
      <c r="F192" s="11"/>
      <c r="G192" s="14">
        <f>IF(A192="","",IF(A192&gt;=DATE(YEAR(A192),4,6),YEAR(A192)&amp;"-"&amp;RIGHT(YEAR(A192)+1,2),YEAR(A192)-1&amp;"-"&amp;RIGHT(YEAR(A192),2)))</f>
      </c>
    </row>
    <row r="193" spans="1:7" x14ac:dyDescent="0.25">
      <c r="A193" s="10"/>
      <c r="B193" s="11"/>
      <c r="C193" s="11"/>
      <c r="D193" s="11"/>
      <c r="E193" s="12"/>
      <c r="F193" s="11"/>
      <c r="G193" s="14">
        <f>IF(A193="","",IF(A193&gt;=DATE(YEAR(A193),4,6),YEAR(A193)&amp;"-"&amp;RIGHT(YEAR(A193)+1,2),YEAR(A193)-1&amp;"-"&amp;RIGHT(YEAR(A193),2)))</f>
      </c>
    </row>
    <row r="194" spans="1:7" x14ac:dyDescent="0.25">
      <c r="A194" s="10"/>
      <c r="B194" s="11"/>
      <c r="C194" s="11"/>
      <c r="D194" s="11"/>
      <c r="E194" s="12"/>
      <c r="F194" s="11"/>
      <c r="G194" s="14">
        <f>IF(A194="","",IF(A194&gt;=DATE(YEAR(A194),4,6),YEAR(A194)&amp;"-"&amp;RIGHT(YEAR(A194)+1,2),YEAR(A194)-1&amp;"-"&amp;RIGHT(YEAR(A194),2)))</f>
      </c>
    </row>
    <row r="195" spans="1:7" x14ac:dyDescent="0.25">
      <c r="A195" s="10"/>
      <c r="B195" s="11"/>
      <c r="C195" s="11"/>
      <c r="D195" s="11"/>
      <c r="E195" s="12"/>
      <c r="F195" s="11"/>
      <c r="G195" s="14">
        <f>IF(A195="","",IF(A195&gt;=DATE(YEAR(A195),4,6),YEAR(A195)&amp;"-"&amp;RIGHT(YEAR(A195)+1,2),YEAR(A195)-1&amp;"-"&amp;RIGHT(YEAR(A195),2)))</f>
      </c>
    </row>
    <row r="196" spans="1:7" x14ac:dyDescent="0.25">
      <c r="A196" s="10"/>
      <c r="B196" s="11"/>
      <c r="C196" s="11"/>
      <c r="D196" s="11"/>
      <c r="E196" s="12"/>
      <c r="F196" s="11"/>
      <c r="G196" s="14">
        <f>IF(A196="","",IF(A196&gt;=DATE(YEAR(A196),4,6),YEAR(A196)&amp;"-"&amp;RIGHT(YEAR(A196)+1,2),YEAR(A196)-1&amp;"-"&amp;RIGHT(YEAR(A196),2)))</f>
      </c>
    </row>
    <row r="197" spans="1:7" x14ac:dyDescent="0.25">
      <c r="A197" s="10"/>
      <c r="B197" s="11"/>
      <c r="C197" s="11"/>
      <c r="D197" s="11"/>
      <c r="E197" s="12"/>
      <c r="F197" s="11"/>
      <c r="G197" s="14">
        <f>IF(A197="","",IF(A197&gt;=DATE(YEAR(A197),4,6),YEAR(A197)&amp;"-"&amp;RIGHT(YEAR(A197)+1,2),YEAR(A197)-1&amp;"-"&amp;RIGHT(YEAR(A197),2)))</f>
      </c>
    </row>
    <row r="198" spans="1:7" x14ac:dyDescent="0.25">
      <c r="A198" s="10"/>
      <c r="B198" s="11"/>
      <c r="C198" s="11"/>
      <c r="D198" s="11"/>
      <c r="E198" s="12"/>
      <c r="F198" s="11"/>
      <c r="G198" s="14">
        <f>IF(A198="","",IF(A198&gt;=DATE(YEAR(A198),4,6),YEAR(A198)&amp;"-"&amp;RIGHT(YEAR(A198)+1,2),YEAR(A198)-1&amp;"-"&amp;RIGHT(YEAR(A198),2)))</f>
      </c>
    </row>
    <row r="199" spans="1:7" x14ac:dyDescent="0.25">
      <c r="A199" s="10"/>
      <c r="B199" s="11"/>
      <c r="C199" s="11"/>
      <c r="D199" s="11"/>
      <c r="E199" s="12"/>
      <c r="F199" s="11"/>
      <c r="G199" s="14">
        <f>IF(A199="","",IF(A199&gt;=DATE(YEAR(A199),4,6),YEAR(A199)&amp;"-"&amp;RIGHT(YEAR(A199)+1,2),YEAR(A199)-1&amp;"-"&amp;RIGHT(YEAR(A199),2)))</f>
      </c>
    </row>
    <row r="200" spans="1:7" x14ac:dyDescent="0.25">
      <c r="A200" s="10"/>
      <c r="B200" s="11"/>
      <c r="C200" s="11"/>
      <c r="D200" s="11"/>
      <c r="E200" s="12"/>
      <c r="F200" s="11"/>
      <c r="G200" s="14">
        <f>IF(A200="","",IF(A200&gt;=DATE(YEAR(A200),4,6),YEAR(A200)&amp;"-"&amp;RIGHT(YEAR(A200)+1,2),YEAR(A200)-1&amp;"-"&amp;RIGHT(YEAR(A200),2)))</f>
      </c>
    </row>
    <row r="201" spans="1:7" x14ac:dyDescent="0.25">
      <c r="A201" s="10"/>
      <c r="B201" s="11"/>
      <c r="C201" s="11"/>
      <c r="D201" s="11"/>
      <c r="E201" s="12"/>
      <c r="F201" s="11"/>
      <c r="G201" s="14">
        <f>IF(A201="","",IF(A201&gt;=DATE(YEAR(A201),4,6),YEAR(A201)&amp;"-"&amp;RIGHT(YEAR(A201)+1,2),YEAR(A201)-1&amp;"-"&amp;RIGHT(YEAR(A201),2)))</f>
      </c>
    </row>
    <row r="202" spans="1:7" x14ac:dyDescent="0.25">
      <c r="A202" s="10"/>
      <c r="B202" s="11"/>
      <c r="C202" s="11"/>
      <c r="D202" s="11"/>
      <c r="E202" s="12"/>
      <c r="F202" s="11"/>
      <c r="G202" s="14">
        <f>IF(A202="","",IF(A202&gt;=DATE(YEAR(A202),4,6),YEAR(A202)&amp;"-"&amp;RIGHT(YEAR(A202)+1,2),YEAR(A202)-1&amp;"-"&amp;RIGHT(YEAR(A202),2)))</f>
      </c>
    </row>
    <row r="203" spans="1:7" x14ac:dyDescent="0.25">
      <c r="A203" s="10"/>
      <c r="B203" s="11"/>
      <c r="C203" s="11"/>
      <c r="D203" s="11"/>
      <c r="E203" s="12"/>
      <c r="F203" s="11"/>
      <c r="G203" s="14">
        <f>IF(A203="","",IF(A203&gt;=DATE(YEAR(A203),4,6),YEAR(A203)&amp;"-"&amp;RIGHT(YEAR(A203)+1,2),YEAR(A203)-1&amp;"-"&amp;RIGHT(YEAR(A203),2)))</f>
      </c>
    </row>
    <row r="204" spans="1:7" x14ac:dyDescent="0.25">
      <c r="A204" s="10"/>
      <c r="B204" s="11"/>
      <c r="C204" s="11"/>
      <c r="D204" s="11"/>
      <c r="E204" s="12"/>
      <c r="F204" s="11"/>
      <c r="G204" s="14">
        <f>IF(A204="","",IF(A204&gt;=DATE(YEAR(A204),4,6),YEAR(A204)&amp;"-"&amp;RIGHT(YEAR(A204)+1,2),YEAR(A204)-1&amp;"-"&amp;RIGHT(YEAR(A204),2)))</f>
      </c>
    </row>
    <row r="205" spans="1:7" x14ac:dyDescent="0.25">
      <c r="A205" s="10"/>
      <c r="B205" s="11"/>
      <c r="C205" s="11"/>
      <c r="D205" s="11"/>
      <c r="E205" s="12"/>
      <c r="F205" s="11"/>
      <c r="G205" s="14">
        <f>IF(A205="","",IF(A205&gt;=DATE(YEAR(A205),4,6),YEAR(A205)&amp;"-"&amp;RIGHT(YEAR(A205)+1,2),YEAR(A205)-1&amp;"-"&amp;RIGHT(YEAR(A205),2)))</f>
      </c>
    </row>
    <row r="206" spans="1:7" x14ac:dyDescent="0.25">
      <c r="A206" s="10"/>
      <c r="B206" s="11"/>
      <c r="C206" s="11"/>
      <c r="D206" s="11"/>
      <c r="E206" s="12"/>
      <c r="F206" s="11"/>
      <c r="G206" s="14">
        <f>IF(A206="","",IF(A206&gt;=DATE(YEAR(A206),4,6),YEAR(A206)&amp;"-"&amp;RIGHT(YEAR(A206)+1,2),YEAR(A206)-1&amp;"-"&amp;RIGHT(YEAR(A206),2)))</f>
      </c>
    </row>
    <row r="207" spans="1:7" x14ac:dyDescent="0.25">
      <c r="A207" s="10"/>
      <c r="B207" s="11"/>
      <c r="C207" s="11"/>
      <c r="D207" s="11"/>
      <c r="E207" s="12"/>
      <c r="F207" s="11"/>
      <c r="G207" s="14">
        <f>IF(A207="","",IF(A207&gt;=DATE(YEAR(A207),4,6),YEAR(A207)&amp;"-"&amp;RIGHT(YEAR(A207)+1,2),YEAR(A207)-1&amp;"-"&amp;RIGHT(YEAR(A207),2)))</f>
      </c>
    </row>
    <row r="208" spans="1:7" x14ac:dyDescent="0.25">
      <c r="A208" s="10"/>
      <c r="B208" s="11"/>
      <c r="C208" s="11"/>
      <c r="D208" s="11"/>
      <c r="E208" s="12"/>
      <c r="F208" s="11"/>
      <c r="G208" s="14">
        <f>IF(A208="","",IF(A208&gt;=DATE(YEAR(A208),4,6),YEAR(A208)&amp;"-"&amp;RIGHT(YEAR(A208)+1,2),YEAR(A208)-1&amp;"-"&amp;RIGHT(YEAR(A208),2)))</f>
      </c>
    </row>
    <row r="209" spans="1:7" x14ac:dyDescent="0.25">
      <c r="A209" s="10"/>
      <c r="B209" s="11"/>
      <c r="C209" s="11"/>
      <c r="D209" s="11"/>
      <c r="E209" s="12"/>
      <c r="F209" s="11"/>
      <c r="G209" s="14">
        <f>IF(A209="","",IF(A209&gt;=DATE(YEAR(A209),4,6),YEAR(A209)&amp;"-"&amp;RIGHT(YEAR(A209)+1,2),YEAR(A209)-1&amp;"-"&amp;RIGHT(YEAR(A209),2)))</f>
      </c>
    </row>
    <row r="210" spans="1:7" x14ac:dyDescent="0.25">
      <c r="A210" s="10"/>
      <c r="B210" s="11"/>
      <c r="C210" s="11"/>
      <c r="D210" s="11"/>
      <c r="E210" s="12"/>
      <c r="F210" s="11"/>
      <c r="G210" s="14">
        <f>IF(A210="","",IF(A210&gt;=DATE(YEAR(A210),4,6),YEAR(A210)&amp;"-"&amp;RIGHT(YEAR(A210)+1,2),YEAR(A210)-1&amp;"-"&amp;RIGHT(YEAR(A210),2)))</f>
      </c>
    </row>
    <row r="211" spans="1:7" x14ac:dyDescent="0.25">
      <c r="A211" s="10"/>
      <c r="B211" s="11"/>
      <c r="C211" s="11"/>
      <c r="D211" s="11"/>
      <c r="E211" s="12"/>
      <c r="F211" s="11"/>
      <c r="G211" s="14">
        <f>IF(A211="","",IF(A211&gt;=DATE(YEAR(A211),4,6),YEAR(A211)&amp;"-"&amp;RIGHT(YEAR(A211)+1,2),YEAR(A211)-1&amp;"-"&amp;RIGHT(YEAR(A211),2)))</f>
      </c>
    </row>
    <row r="212" spans="1:7" x14ac:dyDescent="0.25">
      <c r="A212" s="10"/>
      <c r="B212" s="11"/>
      <c r="C212" s="11"/>
      <c r="D212" s="11"/>
      <c r="E212" s="12"/>
      <c r="F212" s="11"/>
      <c r="G212" s="14">
        <f>IF(A212="","",IF(A212&gt;=DATE(YEAR(A212),4,6),YEAR(A212)&amp;"-"&amp;RIGHT(YEAR(A212)+1,2),YEAR(A212)-1&amp;"-"&amp;RIGHT(YEAR(A212),2)))</f>
      </c>
    </row>
    <row r="213" spans="1:7" x14ac:dyDescent="0.25">
      <c r="A213" s="10"/>
      <c r="B213" s="11"/>
      <c r="C213" s="11"/>
      <c r="D213" s="11"/>
      <c r="E213" s="12"/>
      <c r="F213" s="11"/>
      <c r="G213" s="14">
        <f>IF(A213="","",IF(A213&gt;=DATE(YEAR(A213),4,6),YEAR(A213)&amp;"-"&amp;RIGHT(YEAR(A213)+1,2),YEAR(A213)-1&amp;"-"&amp;RIGHT(YEAR(A213),2)))</f>
      </c>
    </row>
    <row r="214" spans="1:7" x14ac:dyDescent="0.25">
      <c r="A214" s="10"/>
      <c r="B214" s="11"/>
      <c r="C214" s="11"/>
      <c r="D214" s="11"/>
      <c r="E214" s="12"/>
      <c r="F214" s="11"/>
      <c r="G214" s="14">
        <f>IF(A214="","",IF(A214&gt;=DATE(YEAR(A214),4,6),YEAR(A214)&amp;"-"&amp;RIGHT(YEAR(A214)+1,2),YEAR(A214)-1&amp;"-"&amp;RIGHT(YEAR(A214),2)))</f>
      </c>
    </row>
    <row r="215" spans="1:7" x14ac:dyDescent="0.25">
      <c r="A215" s="10"/>
      <c r="B215" s="11"/>
      <c r="C215" s="11"/>
      <c r="D215" s="11"/>
      <c r="E215" s="12"/>
      <c r="F215" s="11"/>
      <c r="G215" s="14">
        <f>IF(A215="","",IF(A215&gt;=DATE(YEAR(A215),4,6),YEAR(A215)&amp;"-"&amp;RIGHT(YEAR(A215)+1,2),YEAR(A215)-1&amp;"-"&amp;RIGHT(YEAR(A215),2)))</f>
      </c>
    </row>
    <row r="216" spans="1:7" x14ac:dyDescent="0.25">
      <c r="A216" s="10"/>
      <c r="B216" s="11"/>
      <c r="C216" s="11"/>
      <c r="D216" s="11"/>
      <c r="E216" s="12"/>
      <c r="F216" s="11"/>
      <c r="G216" s="14">
        <f>IF(A216="","",IF(A216&gt;=DATE(YEAR(A216),4,6),YEAR(A216)&amp;"-"&amp;RIGHT(YEAR(A216)+1,2),YEAR(A216)-1&amp;"-"&amp;RIGHT(YEAR(A216),2)))</f>
      </c>
    </row>
    <row r="217" spans="1:7" x14ac:dyDescent="0.25">
      <c r="A217" s="10"/>
      <c r="B217" s="11"/>
      <c r="C217" s="11"/>
      <c r="D217" s="11"/>
      <c r="E217" s="12"/>
      <c r="F217" s="11"/>
      <c r="G217" s="14">
        <f>IF(A217="","",IF(A217&gt;=DATE(YEAR(A217),4,6),YEAR(A217)&amp;"-"&amp;RIGHT(YEAR(A217)+1,2),YEAR(A217)-1&amp;"-"&amp;RIGHT(YEAR(A217),2)))</f>
      </c>
    </row>
    <row r="218" spans="1:7" x14ac:dyDescent="0.25">
      <c r="A218" s="10"/>
      <c r="B218" s="11"/>
      <c r="C218" s="11"/>
      <c r="D218" s="11"/>
      <c r="E218" s="12"/>
      <c r="F218" s="11"/>
      <c r="G218" s="14">
        <f>IF(A218="","",IF(A218&gt;=DATE(YEAR(A218),4,6),YEAR(A218)&amp;"-"&amp;RIGHT(YEAR(A218)+1,2),YEAR(A218)-1&amp;"-"&amp;RIGHT(YEAR(A218),2)))</f>
      </c>
    </row>
    <row r="219" spans="1:7" x14ac:dyDescent="0.25">
      <c r="A219" s="10"/>
      <c r="B219" s="11"/>
      <c r="C219" s="11"/>
      <c r="D219" s="11"/>
      <c r="E219" s="12"/>
      <c r="F219" s="11"/>
      <c r="G219" s="14">
        <f>IF(A219="","",IF(A219&gt;=DATE(YEAR(A219),4,6),YEAR(A219)&amp;"-"&amp;RIGHT(YEAR(A219)+1,2),YEAR(A219)-1&amp;"-"&amp;RIGHT(YEAR(A219),2)))</f>
      </c>
    </row>
    <row r="220" spans="1:7" x14ac:dyDescent="0.25">
      <c r="A220" s="10"/>
      <c r="B220" s="11"/>
      <c r="C220" s="11"/>
      <c r="D220" s="11"/>
      <c r="E220" s="12"/>
      <c r="F220" s="11"/>
      <c r="G220" s="14">
        <f>IF(A220="","",IF(A220&gt;=DATE(YEAR(A220),4,6),YEAR(A220)&amp;"-"&amp;RIGHT(YEAR(A220)+1,2),YEAR(A220)-1&amp;"-"&amp;RIGHT(YEAR(A220),2)))</f>
      </c>
    </row>
    <row r="221" spans="1:7" x14ac:dyDescent="0.25">
      <c r="A221" s="10"/>
      <c r="B221" s="11"/>
      <c r="C221" s="11"/>
      <c r="D221" s="11"/>
      <c r="E221" s="12"/>
      <c r="F221" s="11"/>
      <c r="G221" s="14">
        <f>IF(A221="","",IF(A221&gt;=DATE(YEAR(A221),4,6),YEAR(A221)&amp;"-"&amp;RIGHT(YEAR(A221)+1,2),YEAR(A221)-1&amp;"-"&amp;RIGHT(YEAR(A221),2)))</f>
      </c>
    </row>
    <row r="222" spans="1:7" x14ac:dyDescent="0.25">
      <c r="A222" s="10"/>
      <c r="B222" s="11"/>
      <c r="C222" s="11"/>
      <c r="D222" s="11"/>
      <c r="E222" s="12"/>
      <c r="F222" s="11"/>
      <c r="G222" s="14">
        <f>IF(A222="","",IF(A222&gt;=DATE(YEAR(A222),4,6),YEAR(A222)&amp;"-"&amp;RIGHT(YEAR(A222)+1,2),YEAR(A222)-1&amp;"-"&amp;RIGHT(YEAR(A222),2)))</f>
      </c>
    </row>
    <row r="223" spans="1:7" x14ac:dyDescent="0.25">
      <c r="A223" s="10"/>
      <c r="B223" s="11"/>
      <c r="C223" s="11"/>
      <c r="D223" s="11"/>
      <c r="E223" s="12"/>
      <c r="F223" s="11"/>
      <c r="G223" s="14">
        <f>IF(A223="","",IF(A223&gt;=DATE(YEAR(A223),4,6),YEAR(A223)&amp;"-"&amp;RIGHT(YEAR(A223)+1,2),YEAR(A223)-1&amp;"-"&amp;RIGHT(YEAR(A223),2)))</f>
      </c>
    </row>
    <row r="224" spans="1:7" x14ac:dyDescent="0.25">
      <c r="A224" s="10"/>
      <c r="B224" s="11"/>
      <c r="C224" s="11"/>
      <c r="D224" s="11"/>
      <c r="E224" s="12"/>
      <c r="F224" s="11"/>
      <c r="G224" s="14">
        <f>IF(A224="","",IF(A224&gt;=DATE(YEAR(A224),4,6),YEAR(A224)&amp;"-"&amp;RIGHT(YEAR(A224)+1,2),YEAR(A224)-1&amp;"-"&amp;RIGHT(YEAR(A224),2)))</f>
      </c>
    </row>
    <row r="225" spans="1:7" x14ac:dyDescent="0.25">
      <c r="A225" s="10"/>
      <c r="B225" s="11"/>
      <c r="C225" s="11"/>
      <c r="D225" s="11"/>
      <c r="E225" s="12"/>
      <c r="F225" s="11"/>
      <c r="G225" s="14">
        <f>IF(A225="","",IF(A225&gt;=DATE(YEAR(A225),4,6),YEAR(A225)&amp;"-"&amp;RIGHT(YEAR(A225)+1,2),YEAR(A225)-1&amp;"-"&amp;RIGHT(YEAR(A225),2)))</f>
      </c>
    </row>
    <row r="226" spans="1:7" x14ac:dyDescent="0.25">
      <c r="A226" s="10"/>
      <c r="B226" s="11"/>
      <c r="C226" s="11"/>
      <c r="D226" s="11"/>
      <c r="E226" s="12"/>
      <c r="F226" s="11"/>
      <c r="G226" s="14">
        <f>IF(A226="","",IF(A226&gt;=DATE(YEAR(A226),4,6),YEAR(A226)&amp;"-"&amp;RIGHT(YEAR(A226)+1,2),YEAR(A226)-1&amp;"-"&amp;RIGHT(YEAR(A226),2)))</f>
      </c>
    </row>
    <row r="227" spans="1:7" x14ac:dyDescent="0.25">
      <c r="A227" s="10"/>
      <c r="B227" s="11"/>
      <c r="C227" s="11"/>
      <c r="D227" s="11"/>
      <c r="E227" s="12"/>
      <c r="F227" s="11"/>
      <c r="G227" s="14">
        <f>IF(A227="","",IF(A227&gt;=DATE(YEAR(A227),4,6),YEAR(A227)&amp;"-"&amp;RIGHT(YEAR(A227)+1,2),YEAR(A227)-1&amp;"-"&amp;RIGHT(YEAR(A227),2)))</f>
      </c>
    </row>
    <row r="228" spans="1:7" x14ac:dyDescent="0.25">
      <c r="A228" s="10"/>
      <c r="B228" s="11"/>
      <c r="C228" s="11"/>
      <c r="D228" s="11"/>
      <c r="E228" s="12"/>
      <c r="F228" s="11"/>
      <c r="G228" s="14">
        <f>IF(A228="","",IF(A228&gt;=DATE(YEAR(A228),4,6),YEAR(A228)&amp;"-"&amp;RIGHT(YEAR(A228)+1,2),YEAR(A228)-1&amp;"-"&amp;RIGHT(YEAR(A228),2)))</f>
      </c>
    </row>
    <row r="229" spans="1:7" x14ac:dyDescent="0.25">
      <c r="A229" s="10"/>
      <c r="B229" s="11"/>
      <c r="C229" s="11"/>
      <c r="D229" s="11"/>
      <c r="E229" s="12"/>
      <c r="F229" s="11"/>
      <c r="G229" s="14">
        <f>IF(A229="","",IF(A229&gt;=DATE(YEAR(A229),4,6),YEAR(A229)&amp;"-"&amp;RIGHT(YEAR(A229)+1,2),YEAR(A229)-1&amp;"-"&amp;RIGHT(YEAR(A229),2)))</f>
      </c>
    </row>
    <row r="230" spans="1:7" x14ac:dyDescent="0.25">
      <c r="A230" s="10"/>
      <c r="B230" s="11"/>
      <c r="C230" s="11"/>
      <c r="D230" s="11"/>
      <c r="E230" s="12"/>
      <c r="F230" s="11"/>
      <c r="G230" s="14">
        <f>IF(A230="","",IF(A230&gt;=DATE(YEAR(A230),4,6),YEAR(A230)&amp;"-"&amp;RIGHT(YEAR(A230)+1,2),YEAR(A230)-1&amp;"-"&amp;RIGHT(YEAR(A230),2)))</f>
      </c>
    </row>
    <row r="231" spans="1:7" x14ac:dyDescent="0.25">
      <c r="A231" s="10"/>
      <c r="B231" s="11"/>
      <c r="C231" s="11"/>
      <c r="D231" s="11"/>
      <c r="E231" s="12"/>
      <c r="F231" s="11"/>
      <c r="G231" s="14">
        <f>IF(A231="","",IF(A231&gt;=DATE(YEAR(A231),4,6),YEAR(A231)&amp;"-"&amp;RIGHT(YEAR(A231)+1,2),YEAR(A231)-1&amp;"-"&amp;RIGHT(YEAR(A231),2)))</f>
      </c>
    </row>
    <row r="232" spans="1:7" x14ac:dyDescent="0.25">
      <c r="A232" s="10"/>
      <c r="B232" s="11"/>
      <c r="C232" s="11"/>
      <c r="D232" s="11"/>
      <c r="E232" s="12"/>
      <c r="F232" s="11"/>
      <c r="G232" s="14">
        <f>IF(A232="","",IF(A232&gt;=DATE(YEAR(A232),4,6),YEAR(A232)&amp;"-"&amp;RIGHT(YEAR(A232)+1,2),YEAR(A232)-1&amp;"-"&amp;RIGHT(YEAR(A232),2)))</f>
      </c>
    </row>
    <row r="233" spans="1:7" x14ac:dyDescent="0.25">
      <c r="A233" s="10"/>
      <c r="B233" s="11"/>
      <c r="C233" s="11"/>
      <c r="D233" s="11"/>
      <c r="E233" s="12"/>
      <c r="F233" s="11"/>
      <c r="G233" s="14">
        <f>IF(A233="","",IF(A233&gt;=DATE(YEAR(A233),4,6),YEAR(A233)&amp;"-"&amp;RIGHT(YEAR(A233)+1,2),YEAR(A233)-1&amp;"-"&amp;RIGHT(YEAR(A233),2)))</f>
      </c>
    </row>
    <row r="234" spans="1:7" x14ac:dyDescent="0.25">
      <c r="A234" s="10"/>
      <c r="B234" s="11"/>
      <c r="C234" s="11"/>
      <c r="D234" s="11"/>
      <c r="E234" s="12"/>
      <c r="F234" s="11"/>
      <c r="G234" s="14">
        <f>IF(A234="","",IF(A234&gt;=DATE(YEAR(A234),4,6),YEAR(A234)&amp;"-"&amp;RIGHT(YEAR(A234)+1,2),YEAR(A234)-1&amp;"-"&amp;RIGHT(YEAR(A234),2)))</f>
      </c>
    </row>
    <row r="235" spans="1:7" x14ac:dyDescent="0.25">
      <c r="A235" s="10"/>
      <c r="B235" s="11"/>
      <c r="C235" s="11"/>
      <c r="D235" s="11"/>
      <c r="E235" s="12"/>
      <c r="F235" s="11"/>
      <c r="G235" s="14">
        <f>IF(A235="","",IF(A235&gt;=DATE(YEAR(A235),4,6),YEAR(A235)&amp;"-"&amp;RIGHT(YEAR(A235)+1,2),YEAR(A235)-1&amp;"-"&amp;RIGHT(YEAR(A235),2)))</f>
      </c>
    </row>
    <row r="236" spans="1:7" x14ac:dyDescent="0.25">
      <c r="A236" s="10"/>
      <c r="B236" s="11"/>
      <c r="C236" s="11"/>
      <c r="D236" s="11"/>
      <c r="E236" s="12"/>
      <c r="F236" s="11"/>
      <c r="G236" s="14">
        <f>IF(A236="","",IF(A236&gt;=DATE(YEAR(A236),4,6),YEAR(A236)&amp;"-"&amp;RIGHT(YEAR(A236)+1,2),YEAR(A236)-1&amp;"-"&amp;RIGHT(YEAR(A236),2)))</f>
      </c>
    </row>
    <row r="237" spans="1:7" x14ac:dyDescent="0.25">
      <c r="A237" s="10"/>
      <c r="B237" s="11"/>
      <c r="C237" s="11"/>
      <c r="D237" s="11"/>
      <c r="E237" s="12"/>
      <c r="F237" s="11"/>
      <c r="G237" s="14">
        <f>IF(A237="","",IF(A237&gt;=DATE(YEAR(A237),4,6),YEAR(A237)&amp;"-"&amp;RIGHT(YEAR(A237)+1,2),YEAR(A237)-1&amp;"-"&amp;RIGHT(YEAR(A237),2)))</f>
      </c>
    </row>
    <row r="238" spans="1:7" x14ac:dyDescent="0.25">
      <c r="A238" s="10"/>
      <c r="B238" s="11"/>
      <c r="C238" s="11"/>
      <c r="D238" s="11"/>
      <c r="E238" s="12"/>
      <c r="F238" s="11"/>
      <c r="G238" s="14">
        <f>IF(A238="","",IF(A238&gt;=DATE(YEAR(A238),4,6),YEAR(A238)&amp;"-"&amp;RIGHT(YEAR(A238)+1,2),YEAR(A238)-1&amp;"-"&amp;RIGHT(YEAR(A238),2)))</f>
      </c>
    </row>
    <row r="239" spans="1:7" x14ac:dyDescent="0.25">
      <c r="A239" s="10"/>
      <c r="B239" s="11"/>
      <c r="C239" s="11"/>
      <c r="D239" s="11"/>
      <c r="E239" s="12"/>
      <c r="F239" s="11"/>
      <c r="G239" s="14">
        <f>IF(A239="","",IF(A239&gt;=DATE(YEAR(A239),4,6),YEAR(A239)&amp;"-"&amp;RIGHT(YEAR(A239)+1,2),YEAR(A239)-1&amp;"-"&amp;RIGHT(YEAR(A239),2)))</f>
      </c>
    </row>
    <row r="240" spans="1:7" x14ac:dyDescent="0.25">
      <c r="A240" s="10"/>
      <c r="B240" s="11"/>
      <c r="C240" s="11"/>
      <c r="D240" s="11"/>
      <c r="E240" s="12"/>
      <c r="F240" s="11"/>
      <c r="G240" s="14">
        <f>IF(A240="","",IF(A240&gt;=DATE(YEAR(A240),4,6),YEAR(A240)&amp;"-"&amp;RIGHT(YEAR(A240)+1,2),YEAR(A240)-1&amp;"-"&amp;RIGHT(YEAR(A240),2)))</f>
      </c>
    </row>
    <row r="241" spans="1:7" x14ac:dyDescent="0.25">
      <c r="A241" s="10"/>
      <c r="B241" s="11"/>
      <c r="C241" s="11"/>
      <c r="D241" s="11"/>
      <c r="E241" s="12"/>
      <c r="F241" s="11"/>
      <c r="G241" s="14">
        <f>IF(A241="","",IF(A241&gt;=DATE(YEAR(A241),4,6),YEAR(A241)&amp;"-"&amp;RIGHT(YEAR(A241)+1,2),YEAR(A241)-1&amp;"-"&amp;RIGHT(YEAR(A241),2)))</f>
      </c>
    </row>
    <row r="242" spans="1:7" x14ac:dyDescent="0.25">
      <c r="A242" s="10"/>
      <c r="B242" s="11"/>
      <c r="C242" s="11"/>
      <c r="D242" s="11"/>
      <c r="E242" s="12"/>
      <c r="F242" s="11"/>
      <c r="G242" s="14">
        <f>IF(A242="","",IF(A242&gt;=DATE(YEAR(A242),4,6),YEAR(A242)&amp;"-"&amp;RIGHT(YEAR(A242)+1,2),YEAR(A242)-1&amp;"-"&amp;RIGHT(YEAR(A242),2)))</f>
      </c>
    </row>
    <row r="243" spans="1:7" x14ac:dyDescent="0.25">
      <c r="A243" s="10"/>
      <c r="B243" s="11"/>
      <c r="C243" s="11"/>
      <c r="D243" s="11"/>
      <c r="E243" s="12"/>
      <c r="F243" s="11"/>
      <c r="G243" s="14">
        <f>IF(A243="","",IF(A243&gt;=DATE(YEAR(A243),4,6),YEAR(A243)&amp;"-"&amp;RIGHT(YEAR(A243)+1,2),YEAR(A243)-1&amp;"-"&amp;RIGHT(YEAR(A243),2)))</f>
      </c>
    </row>
    <row r="244" spans="1:7" x14ac:dyDescent="0.25">
      <c r="A244" s="10"/>
      <c r="B244" s="11"/>
      <c r="C244" s="11"/>
      <c r="D244" s="11"/>
      <c r="E244" s="12"/>
      <c r="F244" s="11"/>
      <c r="G244" s="14">
        <f>IF(A244="","",IF(A244&gt;=DATE(YEAR(A244),4,6),YEAR(A244)&amp;"-"&amp;RIGHT(YEAR(A244)+1,2),YEAR(A244)-1&amp;"-"&amp;RIGHT(YEAR(A244),2)))</f>
      </c>
    </row>
    <row r="245" spans="1:7" x14ac:dyDescent="0.25">
      <c r="A245" s="10"/>
      <c r="B245" s="11"/>
      <c r="C245" s="11"/>
      <c r="D245" s="11"/>
      <c r="E245" s="12"/>
      <c r="F245" s="11"/>
      <c r="G245" s="14">
        <f>IF(A245="","",IF(A245&gt;=DATE(YEAR(A245),4,6),YEAR(A245)&amp;"-"&amp;RIGHT(YEAR(A245)+1,2),YEAR(A245)-1&amp;"-"&amp;RIGHT(YEAR(A245),2)))</f>
      </c>
    </row>
    <row r="246" spans="1:7" x14ac:dyDescent="0.25">
      <c r="A246" s="10"/>
      <c r="B246" s="11"/>
      <c r="C246" s="11"/>
      <c r="D246" s="11"/>
      <c r="E246" s="12"/>
      <c r="F246" s="11"/>
      <c r="G246" s="14">
        <f>IF(A246="","",IF(A246&gt;=DATE(YEAR(A246),4,6),YEAR(A246)&amp;"-"&amp;RIGHT(YEAR(A246)+1,2),YEAR(A246)-1&amp;"-"&amp;RIGHT(YEAR(A246),2)))</f>
      </c>
    </row>
    <row r="247" spans="1:7" x14ac:dyDescent="0.25">
      <c r="A247" s="10"/>
      <c r="B247" s="11"/>
      <c r="C247" s="11"/>
      <c r="D247" s="11"/>
      <c r="E247" s="12"/>
      <c r="F247" s="11"/>
      <c r="G247" s="14">
        <f>IF(A247="","",IF(A247&gt;=DATE(YEAR(A247),4,6),YEAR(A247)&amp;"-"&amp;RIGHT(YEAR(A247)+1,2),YEAR(A247)-1&amp;"-"&amp;RIGHT(YEAR(A247),2)))</f>
      </c>
    </row>
    <row r="248" spans="1:7" x14ac:dyDescent="0.25">
      <c r="A248" s="10"/>
      <c r="B248" s="11"/>
      <c r="C248" s="11"/>
      <c r="D248" s="11"/>
      <c r="E248" s="12"/>
      <c r="F248" s="11"/>
      <c r="G248" s="14">
        <f>IF(A248="","",IF(A248&gt;=DATE(YEAR(A248),4,6),YEAR(A248)&amp;"-"&amp;RIGHT(YEAR(A248)+1,2),YEAR(A248)-1&amp;"-"&amp;RIGHT(YEAR(A248),2)))</f>
      </c>
    </row>
    <row r="249" spans="1:7" x14ac:dyDescent="0.25">
      <c r="A249" s="10"/>
      <c r="B249" s="11"/>
      <c r="C249" s="11"/>
      <c r="D249" s="11"/>
      <c r="E249" s="12"/>
      <c r="F249" s="11"/>
      <c r="G249" s="14">
        <f>IF(A249="","",IF(A249&gt;=DATE(YEAR(A249),4,6),YEAR(A249)&amp;"-"&amp;RIGHT(YEAR(A249)+1,2),YEAR(A249)-1&amp;"-"&amp;RIGHT(YEAR(A249),2)))</f>
      </c>
    </row>
    <row r="250" spans="1:7" x14ac:dyDescent="0.25">
      <c r="A250" s="10"/>
      <c r="B250" s="11"/>
      <c r="C250" s="11"/>
      <c r="D250" s="11"/>
      <c r="E250" s="12"/>
      <c r="F250" s="11"/>
      <c r="G250" s="14">
        <f>IF(A250="","",IF(A250&gt;=DATE(YEAR(A250),4,6),YEAR(A250)&amp;"-"&amp;RIGHT(YEAR(A250)+1,2),YEAR(A250)-1&amp;"-"&amp;RIGHT(YEAR(A250),2)))</f>
      </c>
    </row>
    <row r="251" spans="1:7" x14ac:dyDescent="0.25">
      <c r="A251" s="10"/>
      <c r="B251" s="11"/>
      <c r="C251" s="11"/>
      <c r="D251" s="11"/>
      <c r="E251" s="12"/>
      <c r="F251" s="11"/>
      <c r="G251" s="14">
        <f>IF(A251="","",IF(A251&gt;=DATE(YEAR(A251),4,6),YEAR(A251)&amp;"-"&amp;RIGHT(YEAR(A251)+1,2),YEAR(A251)-1&amp;"-"&amp;RIGHT(YEAR(A251),2)))</f>
      </c>
    </row>
    <row r="252" spans="1:7" x14ac:dyDescent="0.25">
      <c r="A252" s="10"/>
      <c r="B252" s="11"/>
      <c r="C252" s="11"/>
      <c r="D252" s="11"/>
      <c r="E252" s="12"/>
      <c r="F252" s="11"/>
      <c r="G252" s="14">
        <f>IF(A252="","",IF(A252&gt;=DATE(YEAR(A252),4,6),YEAR(A252)&amp;"-"&amp;RIGHT(YEAR(A252)+1,2),YEAR(A252)-1&amp;"-"&amp;RIGHT(YEAR(A252),2)))</f>
      </c>
    </row>
    <row r="253" spans="1:7" x14ac:dyDescent="0.25">
      <c r="A253" s="10"/>
      <c r="B253" s="11"/>
      <c r="C253" s="11"/>
      <c r="D253" s="11"/>
      <c r="E253" s="12"/>
      <c r="F253" s="11"/>
      <c r="G253" s="14">
        <f>IF(A253="","",IF(A253&gt;=DATE(YEAR(A253),4,6),YEAR(A253)&amp;"-"&amp;RIGHT(YEAR(A253)+1,2),YEAR(A253)-1&amp;"-"&amp;RIGHT(YEAR(A253),2)))</f>
      </c>
    </row>
    <row r="254" spans="1:7" x14ac:dyDescent="0.25">
      <c r="A254" s="10"/>
      <c r="B254" s="11"/>
      <c r="C254" s="11"/>
      <c r="D254" s="11"/>
      <c r="E254" s="12"/>
      <c r="F254" s="11"/>
      <c r="G254" s="14">
        <f>IF(A254="","",IF(A254&gt;=DATE(YEAR(A254),4,6),YEAR(A254)&amp;"-"&amp;RIGHT(YEAR(A254)+1,2),YEAR(A254)-1&amp;"-"&amp;RIGHT(YEAR(A254),2)))</f>
      </c>
    </row>
    <row r="255" spans="1:7" x14ac:dyDescent="0.25">
      <c r="A255" s="10"/>
      <c r="B255" s="11"/>
      <c r="C255" s="11"/>
      <c r="D255" s="11"/>
      <c r="E255" s="12"/>
      <c r="F255" s="11"/>
      <c r="G255" s="14">
        <f>IF(A255="","",IF(A255&gt;=DATE(YEAR(A255),4,6),YEAR(A255)&amp;"-"&amp;RIGHT(YEAR(A255)+1,2),YEAR(A255)-1&amp;"-"&amp;RIGHT(YEAR(A255),2)))</f>
      </c>
    </row>
    <row r="256" spans="1:7" x14ac:dyDescent="0.25">
      <c r="A256" s="10"/>
      <c r="B256" s="11"/>
      <c r="C256" s="11"/>
      <c r="D256" s="11"/>
      <c r="E256" s="12"/>
      <c r="F256" s="11"/>
      <c r="G256" s="14">
        <f>IF(A256="","",IF(A256&gt;=DATE(YEAR(A256),4,6),YEAR(A256)&amp;"-"&amp;RIGHT(YEAR(A256)+1,2),YEAR(A256)-1&amp;"-"&amp;RIGHT(YEAR(A256),2)))</f>
      </c>
    </row>
    <row r="257" spans="1:7" x14ac:dyDescent="0.25">
      <c r="A257" s="10"/>
      <c r="B257" s="11"/>
      <c r="C257" s="11"/>
      <c r="D257" s="11"/>
      <c r="E257" s="12"/>
      <c r="F257" s="11"/>
      <c r="G257" s="14">
        <f>IF(A257="","",IF(A257&gt;=DATE(YEAR(A257),4,6),YEAR(A257)&amp;"-"&amp;RIGHT(YEAR(A257)+1,2),YEAR(A257)-1&amp;"-"&amp;RIGHT(YEAR(A257),2)))</f>
      </c>
    </row>
    <row r="258" spans="1:7" x14ac:dyDescent="0.25">
      <c r="A258" s="10"/>
      <c r="B258" s="11"/>
      <c r="C258" s="11"/>
      <c r="D258" s="11"/>
      <c r="E258" s="12"/>
      <c r="F258" s="11"/>
      <c r="G258" s="14">
        <f>IF(A258="","",IF(A258&gt;=DATE(YEAR(A258),4,6),YEAR(A258)&amp;"-"&amp;RIGHT(YEAR(A258)+1,2),YEAR(A258)-1&amp;"-"&amp;RIGHT(YEAR(A258),2)))</f>
      </c>
    </row>
    <row r="259" spans="1:7" x14ac:dyDescent="0.25">
      <c r="A259" s="10"/>
      <c r="B259" s="11"/>
      <c r="C259" s="11"/>
      <c r="D259" s="11"/>
      <c r="E259" s="12"/>
      <c r="F259" s="11"/>
      <c r="G259" s="14">
        <f>IF(A259="","",IF(A259&gt;=DATE(YEAR(A259),4,6),YEAR(A259)&amp;"-"&amp;RIGHT(YEAR(A259)+1,2),YEAR(A259)-1&amp;"-"&amp;RIGHT(YEAR(A259),2)))</f>
      </c>
    </row>
    <row r="260" spans="1:7" x14ac:dyDescent="0.25">
      <c r="A260" s="10"/>
      <c r="B260" s="11"/>
      <c r="C260" s="11"/>
      <c r="D260" s="11"/>
      <c r="E260" s="12"/>
      <c r="F260" s="11"/>
      <c r="G260" s="14">
        <f>IF(A260="","",IF(A260&gt;=DATE(YEAR(A260),4,6),YEAR(A260)&amp;"-"&amp;RIGHT(YEAR(A260)+1,2),YEAR(A260)-1&amp;"-"&amp;RIGHT(YEAR(A260),2)))</f>
      </c>
    </row>
    <row r="261" spans="1:7" x14ac:dyDescent="0.25">
      <c r="A261" s="10"/>
      <c r="B261" s="11"/>
      <c r="C261" s="11"/>
      <c r="D261" s="11"/>
      <c r="E261" s="12"/>
      <c r="F261" s="11"/>
      <c r="G261" s="14">
        <f>IF(A261="","",IF(A261&gt;=DATE(YEAR(A261),4,6),YEAR(A261)&amp;"-"&amp;RIGHT(YEAR(A261)+1,2),YEAR(A261)-1&amp;"-"&amp;RIGHT(YEAR(A261),2)))</f>
      </c>
    </row>
    <row r="262" spans="1:7" x14ac:dyDescent="0.25">
      <c r="A262" s="10"/>
      <c r="B262" s="11"/>
      <c r="C262" s="11"/>
      <c r="D262" s="11"/>
      <c r="E262" s="12"/>
      <c r="F262" s="11"/>
      <c r="G262" s="14">
        <f>IF(A262="","",IF(A262&gt;=DATE(YEAR(A262),4,6),YEAR(A262)&amp;"-"&amp;RIGHT(YEAR(A262)+1,2),YEAR(A262)-1&amp;"-"&amp;RIGHT(YEAR(A262),2)))</f>
      </c>
    </row>
    <row r="263" spans="1:7" x14ac:dyDescent="0.25">
      <c r="A263" s="10"/>
      <c r="B263" s="11"/>
      <c r="C263" s="11"/>
      <c r="D263" s="11"/>
      <c r="E263" s="12"/>
      <c r="F263" s="11"/>
      <c r="G263" s="14">
        <f>IF(A263="","",IF(A263&gt;=DATE(YEAR(A263),4,6),YEAR(A263)&amp;"-"&amp;RIGHT(YEAR(A263)+1,2),YEAR(A263)-1&amp;"-"&amp;RIGHT(YEAR(A263),2)))</f>
      </c>
    </row>
    <row r="264" spans="1:7" x14ac:dyDescent="0.25">
      <c r="A264" s="10"/>
      <c r="B264" s="11"/>
      <c r="C264" s="11"/>
      <c r="D264" s="11"/>
      <c r="E264" s="12"/>
      <c r="F264" s="11"/>
      <c r="G264" s="14">
        <f>IF(A264="","",IF(A264&gt;=DATE(YEAR(A264),4,6),YEAR(A264)&amp;"-"&amp;RIGHT(YEAR(A264)+1,2),YEAR(A264)-1&amp;"-"&amp;RIGHT(YEAR(A264),2)))</f>
      </c>
    </row>
    <row r="265" spans="1:7" x14ac:dyDescent="0.25">
      <c r="A265" s="10"/>
      <c r="B265" s="11"/>
      <c r="C265" s="11"/>
      <c r="D265" s="11"/>
      <c r="E265" s="12"/>
      <c r="F265" s="11"/>
      <c r="G265" s="14">
        <f>IF(A265="","",IF(A265&gt;=DATE(YEAR(A265),4,6),YEAR(A265)&amp;"-"&amp;RIGHT(YEAR(A265)+1,2),YEAR(A265)-1&amp;"-"&amp;RIGHT(YEAR(A265),2)))</f>
      </c>
    </row>
    <row r="266" spans="1:7" x14ac:dyDescent="0.25">
      <c r="A266" s="10"/>
      <c r="B266" s="11"/>
      <c r="C266" s="11"/>
      <c r="D266" s="11"/>
      <c r="E266" s="12"/>
      <c r="F266" s="11"/>
      <c r="G266" s="14">
        <f>IF(A266="","",IF(A266&gt;=DATE(YEAR(A266),4,6),YEAR(A266)&amp;"-"&amp;RIGHT(YEAR(A266)+1,2),YEAR(A266)-1&amp;"-"&amp;RIGHT(YEAR(A266),2)))</f>
      </c>
    </row>
    <row r="267" spans="1:7" x14ac:dyDescent="0.25">
      <c r="A267" s="10"/>
      <c r="B267" s="11"/>
      <c r="C267" s="11"/>
      <c r="D267" s="11"/>
      <c r="E267" s="12"/>
      <c r="F267" s="11"/>
      <c r="G267" s="14">
        <f>IF(A267="","",IF(A267&gt;=DATE(YEAR(A267),4,6),YEAR(A267)&amp;"-"&amp;RIGHT(YEAR(A267)+1,2),YEAR(A267)-1&amp;"-"&amp;RIGHT(YEAR(A267),2)))</f>
      </c>
    </row>
    <row r="268" spans="1:7" x14ac:dyDescent="0.25">
      <c r="A268" s="10"/>
      <c r="B268" s="11"/>
      <c r="C268" s="11"/>
      <c r="D268" s="11"/>
      <c r="E268" s="12"/>
      <c r="F268" s="11"/>
      <c r="G268" s="14">
        <f>IF(A268="","",IF(A268&gt;=DATE(YEAR(A268),4,6),YEAR(A268)&amp;"-"&amp;RIGHT(YEAR(A268)+1,2),YEAR(A268)-1&amp;"-"&amp;RIGHT(YEAR(A268),2)))</f>
      </c>
    </row>
    <row r="269" spans="1:7" x14ac:dyDescent="0.25">
      <c r="A269" s="10"/>
      <c r="B269" s="11"/>
      <c r="C269" s="11"/>
      <c r="D269" s="11"/>
      <c r="E269" s="12"/>
      <c r="F269" s="11"/>
      <c r="G269" s="14">
        <f>IF(A269="","",IF(A269&gt;=DATE(YEAR(A269),4,6),YEAR(A269)&amp;"-"&amp;RIGHT(YEAR(A269)+1,2),YEAR(A269)-1&amp;"-"&amp;RIGHT(YEAR(A269),2)))</f>
      </c>
    </row>
    <row r="270" spans="1:7" x14ac:dyDescent="0.25">
      <c r="A270" s="10"/>
      <c r="B270" s="11"/>
      <c r="C270" s="11"/>
      <c r="D270" s="11"/>
      <c r="E270" s="12"/>
      <c r="F270" s="11"/>
      <c r="G270" s="14">
        <f>IF(A270="","",IF(A270&gt;=DATE(YEAR(A270),4,6),YEAR(A270)&amp;"-"&amp;RIGHT(YEAR(A270)+1,2),YEAR(A270)-1&amp;"-"&amp;RIGHT(YEAR(A270),2)))</f>
      </c>
    </row>
    <row r="271" spans="1:7" x14ac:dyDescent="0.25">
      <c r="A271" s="10"/>
      <c r="B271" s="11"/>
      <c r="C271" s="11"/>
      <c r="D271" s="11"/>
      <c r="E271" s="12"/>
      <c r="F271" s="11"/>
      <c r="G271" s="14">
        <f>IF(A271="","",IF(A271&gt;=DATE(YEAR(A271),4,6),YEAR(A271)&amp;"-"&amp;RIGHT(YEAR(A271)+1,2),YEAR(A271)-1&amp;"-"&amp;RIGHT(YEAR(A271),2)))</f>
      </c>
    </row>
    <row r="272" spans="1:7" x14ac:dyDescent="0.25">
      <c r="A272" s="10"/>
      <c r="B272" s="11"/>
      <c r="C272" s="11"/>
      <c r="D272" s="11"/>
      <c r="E272" s="12"/>
      <c r="F272" s="11"/>
      <c r="G272" s="14">
        <f>IF(A272="","",IF(A272&gt;=DATE(YEAR(A272),4,6),YEAR(A272)&amp;"-"&amp;RIGHT(YEAR(A272)+1,2),YEAR(A272)-1&amp;"-"&amp;RIGHT(YEAR(A272),2)))</f>
      </c>
    </row>
    <row r="273" spans="1:7" x14ac:dyDescent="0.25">
      <c r="A273" s="10"/>
      <c r="B273" s="11"/>
      <c r="C273" s="11"/>
      <c r="D273" s="11"/>
      <c r="E273" s="12"/>
      <c r="F273" s="11"/>
      <c r="G273" s="14">
        <f>IF(A273="","",IF(A273&gt;=DATE(YEAR(A273),4,6),YEAR(A273)&amp;"-"&amp;RIGHT(YEAR(A273)+1,2),YEAR(A273)-1&amp;"-"&amp;RIGHT(YEAR(A273),2)))</f>
      </c>
    </row>
    <row r="274" spans="1:7" x14ac:dyDescent="0.25">
      <c r="A274" s="10"/>
      <c r="B274" s="11"/>
      <c r="C274" s="11"/>
      <c r="D274" s="11"/>
      <c r="E274" s="12"/>
      <c r="F274" s="11"/>
      <c r="G274" s="14">
        <f>IF(A274="","",IF(A274&gt;=DATE(YEAR(A274),4,6),YEAR(A274)&amp;"-"&amp;RIGHT(YEAR(A274)+1,2),YEAR(A274)-1&amp;"-"&amp;RIGHT(YEAR(A274),2)))</f>
      </c>
    </row>
    <row r="275" spans="1:7" x14ac:dyDescent="0.25">
      <c r="A275" s="10"/>
      <c r="B275" s="11"/>
      <c r="C275" s="11"/>
      <c r="D275" s="11"/>
      <c r="E275" s="12"/>
      <c r="F275" s="11"/>
      <c r="G275" s="14">
        <f>IF(A275="","",IF(A275&gt;=DATE(YEAR(A275),4,6),YEAR(A275)&amp;"-"&amp;RIGHT(YEAR(A275)+1,2),YEAR(A275)-1&amp;"-"&amp;RIGHT(YEAR(A275),2)))</f>
      </c>
    </row>
    <row r="276" spans="1:7" x14ac:dyDescent="0.25">
      <c r="A276" s="10"/>
      <c r="B276" s="11"/>
      <c r="C276" s="11"/>
      <c r="D276" s="11"/>
      <c r="E276" s="12"/>
      <c r="F276" s="11"/>
      <c r="G276" s="14">
        <f>IF(A276="","",IF(A276&gt;=DATE(YEAR(A276),4,6),YEAR(A276)&amp;"-"&amp;RIGHT(YEAR(A276)+1,2),YEAR(A276)-1&amp;"-"&amp;RIGHT(YEAR(A276),2)))</f>
      </c>
    </row>
    <row r="277" spans="1:7" x14ac:dyDescent="0.25">
      <c r="A277" s="10"/>
      <c r="B277" s="11"/>
      <c r="C277" s="11"/>
      <c r="D277" s="11"/>
      <c r="E277" s="12"/>
      <c r="F277" s="11"/>
      <c r="G277" s="14">
        <f>IF(A277="","",IF(A277&gt;=DATE(YEAR(A277),4,6),YEAR(A277)&amp;"-"&amp;RIGHT(YEAR(A277)+1,2),YEAR(A277)-1&amp;"-"&amp;RIGHT(YEAR(A277),2)))</f>
      </c>
    </row>
    <row r="278" spans="1:7" x14ac:dyDescent="0.25">
      <c r="A278" s="10"/>
      <c r="B278" s="11"/>
      <c r="C278" s="11"/>
      <c r="D278" s="11"/>
      <c r="E278" s="12"/>
      <c r="F278" s="11"/>
      <c r="G278" s="14">
        <f>IF(A278="","",IF(A278&gt;=DATE(YEAR(A278),4,6),YEAR(A278)&amp;"-"&amp;RIGHT(YEAR(A278)+1,2),YEAR(A278)-1&amp;"-"&amp;RIGHT(YEAR(A278),2)))</f>
      </c>
    </row>
    <row r="279" spans="1:7" x14ac:dyDescent="0.25">
      <c r="A279" s="10"/>
      <c r="B279" s="11"/>
      <c r="C279" s="11"/>
      <c r="D279" s="11"/>
      <c r="E279" s="12"/>
      <c r="F279" s="11"/>
      <c r="G279" s="14">
        <f>IF(A279="","",IF(A279&gt;=DATE(YEAR(A279),4,6),YEAR(A279)&amp;"-"&amp;RIGHT(YEAR(A279)+1,2),YEAR(A279)-1&amp;"-"&amp;RIGHT(YEAR(A279),2)))</f>
      </c>
    </row>
    <row r="280" spans="1:7" x14ac:dyDescent="0.25">
      <c r="A280" s="10"/>
      <c r="B280" s="11"/>
      <c r="C280" s="11"/>
      <c r="D280" s="11"/>
      <c r="E280" s="12"/>
      <c r="F280" s="11"/>
      <c r="G280" s="14">
        <f>IF(A280="","",IF(A280&gt;=DATE(YEAR(A280),4,6),YEAR(A280)&amp;"-"&amp;RIGHT(YEAR(A280)+1,2),YEAR(A280)-1&amp;"-"&amp;RIGHT(YEAR(A280),2)))</f>
      </c>
    </row>
    <row r="281" spans="1:7" x14ac:dyDescent="0.25">
      <c r="A281" s="10"/>
      <c r="B281" s="11"/>
      <c r="C281" s="11"/>
      <c r="D281" s="11"/>
      <c r="E281" s="12"/>
      <c r="F281" s="11"/>
      <c r="G281" s="14">
        <f>IF(A281="","",IF(A281&gt;=DATE(YEAR(A281),4,6),YEAR(A281)&amp;"-"&amp;RIGHT(YEAR(A281)+1,2),YEAR(A281)-1&amp;"-"&amp;RIGHT(YEAR(A281),2)))</f>
      </c>
    </row>
    <row r="282" spans="1:7" x14ac:dyDescent="0.25">
      <c r="A282" s="10"/>
      <c r="B282" s="11"/>
      <c r="C282" s="11"/>
      <c r="D282" s="11"/>
      <c r="E282" s="12"/>
      <c r="F282" s="11"/>
      <c r="G282" s="14">
        <f>IF(A282="","",IF(A282&gt;=DATE(YEAR(A282),4,6),YEAR(A282)&amp;"-"&amp;RIGHT(YEAR(A282)+1,2),YEAR(A282)-1&amp;"-"&amp;RIGHT(YEAR(A282),2)))</f>
      </c>
    </row>
    <row r="283" spans="1:7" x14ac:dyDescent="0.25">
      <c r="A283" s="10"/>
      <c r="B283" s="11"/>
      <c r="C283" s="11"/>
      <c r="D283" s="11"/>
      <c r="E283" s="12"/>
      <c r="F283" s="11"/>
      <c r="G283" s="14">
        <f>IF(A283="","",IF(A283&gt;=DATE(YEAR(A283),4,6),YEAR(A283)&amp;"-"&amp;RIGHT(YEAR(A283)+1,2),YEAR(A283)-1&amp;"-"&amp;RIGHT(YEAR(A283),2)))</f>
      </c>
    </row>
    <row r="284" spans="1:7" x14ac:dyDescent="0.25">
      <c r="A284" s="10"/>
      <c r="B284" s="11"/>
      <c r="C284" s="11"/>
      <c r="D284" s="11"/>
      <c r="E284" s="12"/>
      <c r="F284" s="11"/>
      <c r="G284" s="14">
        <f>IF(A284="","",IF(A284&gt;=DATE(YEAR(A284),4,6),YEAR(A284)&amp;"-"&amp;RIGHT(YEAR(A284)+1,2),YEAR(A284)-1&amp;"-"&amp;RIGHT(YEAR(A284),2)))</f>
      </c>
    </row>
    <row r="285" spans="1:7" x14ac:dyDescent="0.25">
      <c r="A285" s="10"/>
      <c r="B285" s="11"/>
      <c r="C285" s="11"/>
      <c r="D285" s="11"/>
      <c r="E285" s="12"/>
      <c r="F285" s="11"/>
      <c r="G285" s="14">
        <f>IF(A285="","",IF(A285&gt;=DATE(YEAR(A285),4,6),YEAR(A285)&amp;"-"&amp;RIGHT(YEAR(A285)+1,2),YEAR(A285)-1&amp;"-"&amp;RIGHT(YEAR(A285),2)))</f>
      </c>
    </row>
    <row r="286" spans="1:7" x14ac:dyDescent="0.25">
      <c r="A286" s="10"/>
      <c r="B286" s="11"/>
      <c r="C286" s="11"/>
      <c r="D286" s="11"/>
      <c r="E286" s="12"/>
      <c r="F286" s="11"/>
      <c r="G286" s="14">
        <f>IF(A286="","",IF(A286&gt;=DATE(YEAR(A286),4,6),YEAR(A286)&amp;"-"&amp;RIGHT(YEAR(A286)+1,2),YEAR(A286)-1&amp;"-"&amp;RIGHT(YEAR(A286),2)))</f>
      </c>
    </row>
    <row r="287" spans="1:7" x14ac:dyDescent="0.25">
      <c r="A287" s="10"/>
      <c r="B287" s="11"/>
      <c r="C287" s="11"/>
      <c r="D287" s="11"/>
      <c r="E287" s="12"/>
      <c r="F287" s="11"/>
      <c r="G287" s="14">
        <f>IF(A287="","",IF(A287&gt;=DATE(YEAR(A287),4,6),YEAR(A287)&amp;"-"&amp;RIGHT(YEAR(A287)+1,2),YEAR(A287)-1&amp;"-"&amp;RIGHT(YEAR(A287),2)))</f>
      </c>
    </row>
    <row r="288" spans="1:7" x14ac:dyDescent="0.25">
      <c r="A288" s="10"/>
      <c r="B288" s="11"/>
      <c r="C288" s="11"/>
      <c r="D288" s="11"/>
      <c r="E288" s="12"/>
      <c r="F288" s="11"/>
      <c r="G288" s="14">
        <f>IF(A288="","",IF(A288&gt;=DATE(YEAR(A288),4,6),YEAR(A288)&amp;"-"&amp;RIGHT(YEAR(A288)+1,2),YEAR(A288)-1&amp;"-"&amp;RIGHT(YEAR(A288),2)))</f>
      </c>
    </row>
    <row r="289" spans="1:7" x14ac:dyDescent="0.25">
      <c r="A289" s="10"/>
      <c r="B289" s="11"/>
      <c r="C289" s="11"/>
      <c r="D289" s="11"/>
      <c r="E289" s="12"/>
      <c r="F289" s="11"/>
      <c r="G289" s="14">
        <f>IF(A289="","",IF(A289&gt;=DATE(YEAR(A289),4,6),YEAR(A289)&amp;"-"&amp;RIGHT(YEAR(A289)+1,2),YEAR(A289)-1&amp;"-"&amp;RIGHT(YEAR(A289),2)))</f>
      </c>
    </row>
    <row r="290" spans="1:7" x14ac:dyDescent="0.25">
      <c r="A290" s="10"/>
      <c r="B290" s="11"/>
      <c r="C290" s="11"/>
      <c r="D290" s="11"/>
      <c r="E290" s="12"/>
      <c r="F290" s="11"/>
      <c r="G290" s="14">
        <f>IF(A290="","",IF(A290&gt;=DATE(YEAR(A290),4,6),YEAR(A290)&amp;"-"&amp;RIGHT(YEAR(A290)+1,2),YEAR(A290)-1&amp;"-"&amp;RIGHT(YEAR(A290),2)))</f>
      </c>
    </row>
    <row r="291" spans="1:7" x14ac:dyDescent="0.25">
      <c r="A291" s="10"/>
      <c r="B291" s="11"/>
      <c r="C291" s="11"/>
      <c r="D291" s="11"/>
      <c r="E291" s="12"/>
      <c r="F291" s="11"/>
      <c r="G291" s="14">
        <f>IF(A291="","",IF(A291&gt;=DATE(YEAR(A291),4,6),YEAR(A291)&amp;"-"&amp;RIGHT(YEAR(A291)+1,2),YEAR(A291)-1&amp;"-"&amp;RIGHT(YEAR(A291),2)))</f>
      </c>
    </row>
    <row r="292" spans="1:7" x14ac:dyDescent="0.25">
      <c r="A292" s="10"/>
      <c r="B292" s="11"/>
      <c r="C292" s="11"/>
      <c r="D292" s="11"/>
      <c r="E292" s="12"/>
      <c r="F292" s="11"/>
      <c r="G292" s="14">
        <f>IF(A292="","",IF(A292&gt;=DATE(YEAR(A292),4,6),YEAR(A292)&amp;"-"&amp;RIGHT(YEAR(A292)+1,2),YEAR(A292)-1&amp;"-"&amp;RIGHT(YEAR(A292),2)))</f>
      </c>
    </row>
    <row r="293" spans="1:7" x14ac:dyDescent="0.25">
      <c r="A293" s="10"/>
      <c r="B293" s="11"/>
      <c r="C293" s="11"/>
      <c r="D293" s="11"/>
      <c r="E293" s="12"/>
      <c r="F293" s="11"/>
      <c r="G293" s="14">
        <f>IF(A293="","",IF(A293&gt;=DATE(YEAR(A293),4,6),YEAR(A293)&amp;"-"&amp;RIGHT(YEAR(A293)+1,2),YEAR(A293)-1&amp;"-"&amp;RIGHT(YEAR(A293),2)))</f>
      </c>
    </row>
    <row r="294" spans="1:7" x14ac:dyDescent="0.25">
      <c r="A294" s="10"/>
      <c r="B294" s="11"/>
      <c r="C294" s="11"/>
      <c r="D294" s="11"/>
      <c r="E294" s="12"/>
      <c r="F294" s="11"/>
      <c r="G294" s="14">
        <f>IF(A294="","",IF(A294&gt;=DATE(YEAR(A294),4,6),YEAR(A294)&amp;"-"&amp;RIGHT(YEAR(A294)+1,2),YEAR(A294)-1&amp;"-"&amp;RIGHT(YEAR(A294),2)))</f>
      </c>
    </row>
    <row r="295" spans="1:7" x14ac:dyDescent="0.25">
      <c r="A295" s="10"/>
      <c r="B295" s="11"/>
      <c r="C295" s="11"/>
      <c r="D295" s="11"/>
      <c r="E295" s="12"/>
      <c r="F295" s="11"/>
      <c r="G295" s="14">
        <f>IF(A295="","",IF(A295&gt;=DATE(YEAR(A295),4,6),YEAR(A295)&amp;"-"&amp;RIGHT(YEAR(A295)+1,2),YEAR(A295)-1&amp;"-"&amp;RIGHT(YEAR(A295),2)))</f>
      </c>
    </row>
    <row r="296" spans="1:7" x14ac:dyDescent="0.25">
      <c r="A296" s="10"/>
      <c r="B296" s="11"/>
      <c r="C296" s="11"/>
      <c r="D296" s="11"/>
      <c r="E296" s="12"/>
      <c r="F296" s="11"/>
      <c r="G296" s="14">
        <f>IF(A296="","",IF(A296&gt;=DATE(YEAR(A296),4,6),YEAR(A296)&amp;"-"&amp;RIGHT(YEAR(A296)+1,2),YEAR(A296)-1&amp;"-"&amp;RIGHT(YEAR(A296),2)))</f>
      </c>
    </row>
    <row r="297" spans="1:7" x14ac:dyDescent="0.25">
      <c r="A297" s="10"/>
      <c r="B297" s="11"/>
      <c r="C297" s="11"/>
      <c r="D297" s="11"/>
      <c r="E297" s="12"/>
      <c r="F297" s="11"/>
      <c r="G297" s="14">
        <f>IF(A297="","",IF(A297&gt;=DATE(YEAR(A297),4,6),YEAR(A297)&amp;"-"&amp;RIGHT(YEAR(A297)+1,2),YEAR(A297)-1&amp;"-"&amp;RIGHT(YEAR(A297),2)))</f>
      </c>
    </row>
    <row r="298" spans="1:7" x14ac:dyDescent="0.25">
      <c r="A298" s="10"/>
      <c r="B298" s="11"/>
      <c r="C298" s="11"/>
      <c r="D298" s="11"/>
      <c r="E298" s="12"/>
      <c r="F298" s="11"/>
      <c r="G298" s="14">
        <f>IF(A298="","",IF(A298&gt;=DATE(YEAR(A298),4,6),YEAR(A298)&amp;"-"&amp;RIGHT(YEAR(A298)+1,2),YEAR(A298)-1&amp;"-"&amp;RIGHT(YEAR(A298),2)))</f>
      </c>
    </row>
    <row r="299" spans="1:7" x14ac:dyDescent="0.25">
      <c r="A299" s="10"/>
      <c r="B299" s="11"/>
      <c r="C299" s="11"/>
      <c r="D299" s="11"/>
      <c r="E299" s="12"/>
      <c r="F299" s="11"/>
      <c r="G299" s="14">
        <f>IF(A299="","",IF(A299&gt;=DATE(YEAR(A299),4,6),YEAR(A299)&amp;"-"&amp;RIGHT(YEAR(A299)+1,2),YEAR(A299)-1&amp;"-"&amp;RIGHT(YEAR(A299),2)))</f>
      </c>
    </row>
    <row r="300" spans="1:7" x14ac:dyDescent="0.25">
      <c r="A300" s="10"/>
      <c r="B300" s="11"/>
      <c r="C300" s="11"/>
      <c r="D300" s="11"/>
      <c r="E300" s="12"/>
      <c r="F300" s="11"/>
      <c r="G300" s="14">
        <f>IF(A300="","",IF(A300&gt;=DATE(YEAR(A300),4,6),YEAR(A300)&amp;"-"&amp;RIGHT(YEAR(A300)+1,2),YEAR(A300)-1&amp;"-"&amp;RIGHT(YEAR(A300),2)))</f>
      </c>
    </row>
    <row r="301" spans="1:7" x14ac:dyDescent="0.25">
      <c r="A301" s="10"/>
      <c r="B301" s="11"/>
      <c r="C301" s="11"/>
      <c r="D301" s="11"/>
      <c r="E301" s="12"/>
      <c r="F301" s="11"/>
      <c r="G301" s="14">
        <f>IF(A301="","",IF(A301&gt;=DATE(YEAR(A301),4,6),YEAR(A301)&amp;"-"&amp;RIGHT(YEAR(A301)+1,2),YEAR(A301)-1&amp;"-"&amp;RIGHT(YEAR(A301),2)))</f>
      </c>
    </row>
    <row r="302" spans="1:7" x14ac:dyDescent="0.25">
      <c r="A302" s="10"/>
      <c r="B302" s="11"/>
      <c r="C302" s="11"/>
      <c r="D302" s="11"/>
      <c r="E302" s="12"/>
      <c r="F302" s="11"/>
      <c r="G302" s="14">
        <f>IF(A302="","",IF(A302&gt;=DATE(YEAR(A302),4,6),YEAR(A302)&amp;"-"&amp;RIGHT(YEAR(A302)+1,2),YEAR(A302)-1&amp;"-"&amp;RIGHT(YEAR(A302),2)))</f>
      </c>
    </row>
    <row r="303" spans="1:7" x14ac:dyDescent="0.25">
      <c r="A303" s="10"/>
      <c r="B303" s="11"/>
      <c r="C303" s="11"/>
      <c r="D303" s="11"/>
      <c r="E303" s="12"/>
      <c r="F303" s="11"/>
      <c r="G303" s="14">
        <f>IF(A303="","",IF(A303&gt;=DATE(YEAR(A303),4,6),YEAR(A303)&amp;"-"&amp;RIGHT(YEAR(A303)+1,2),YEAR(A303)-1&amp;"-"&amp;RIGHT(YEAR(A303),2)))</f>
      </c>
    </row>
    <row r="304" spans="1:7" x14ac:dyDescent="0.25">
      <c r="A304" s="10"/>
      <c r="B304" s="11"/>
      <c r="C304" s="11"/>
      <c r="D304" s="11"/>
      <c r="E304" s="12"/>
      <c r="F304" s="11"/>
      <c r="G304" s="14">
        <f>IF(A304="","",IF(A304&gt;=DATE(YEAR(A304),4,6),YEAR(A304)&amp;"-"&amp;RIGHT(YEAR(A304)+1,2),YEAR(A304)-1&amp;"-"&amp;RIGHT(YEAR(A304),2)))</f>
      </c>
    </row>
    <row r="305" spans="1:7" x14ac:dyDescent="0.25">
      <c r="A305" s="10"/>
      <c r="B305" s="11"/>
      <c r="C305" s="11"/>
      <c r="D305" s="11"/>
      <c r="E305" s="12"/>
      <c r="F305" s="11"/>
      <c r="G305" s="14">
        <f>IF(A305="","",IF(A305&gt;=DATE(YEAR(A305),4,6),YEAR(A305)&amp;"-"&amp;RIGHT(YEAR(A305)+1,2),YEAR(A305)-1&amp;"-"&amp;RIGHT(YEAR(A305),2)))</f>
      </c>
    </row>
    <row r="306" spans="1:7" x14ac:dyDescent="0.25">
      <c r="A306" s="10"/>
      <c r="B306" s="11"/>
      <c r="C306" s="11"/>
      <c r="D306" s="11"/>
      <c r="E306" s="12"/>
      <c r="F306" s="11"/>
      <c r="G306" s="14">
        <f>IF(A306="","",IF(A306&gt;=DATE(YEAR(A306),4,6),YEAR(A306)&amp;"-"&amp;RIGHT(YEAR(A306)+1,2),YEAR(A306)-1&amp;"-"&amp;RIGHT(YEAR(A306),2)))</f>
      </c>
    </row>
    <row r="307" spans="1:7" x14ac:dyDescent="0.25">
      <c r="A307" s="10"/>
      <c r="B307" s="11"/>
      <c r="C307" s="11"/>
      <c r="D307" s="11"/>
      <c r="E307" s="12"/>
      <c r="F307" s="11"/>
      <c r="G307" s="14">
        <f>IF(A307="","",IF(A307&gt;=DATE(YEAR(A307),4,6),YEAR(A307)&amp;"-"&amp;RIGHT(YEAR(A307)+1,2),YEAR(A307)-1&amp;"-"&amp;RIGHT(YEAR(A307),2)))</f>
      </c>
    </row>
    <row r="308" spans="1:7" x14ac:dyDescent="0.25">
      <c r="A308" s="10"/>
      <c r="B308" s="11"/>
      <c r="C308" s="11"/>
      <c r="D308" s="11"/>
      <c r="E308" s="12"/>
      <c r="F308" s="11"/>
      <c r="G308" s="14">
        <f>IF(A308="","",IF(A308&gt;=DATE(YEAR(A308),4,6),YEAR(A308)&amp;"-"&amp;RIGHT(YEAR(A308)+1,2),YEAR(A308)-1&amp;"-"&amp;RIGHT(YEAR(A308),2)))</f>
      </c>
    </row>
    <row r="309" spans="1:7" x14ac:dyDescent="0.25">
      <c r="A309" s="10"/>
      <c r="B309" s="11"/>
      <c r="C309" s="11"/>
      <c r="D309" s="11"/>
      <c r="E309" s="12"/>
      <c r="F309" s="11"/>
      <c r="G309" s="14">
        <f>IF(A309="","",IF(A309&gt;=DATE(YEAR(A309),4,6),YEAR(A309)&amp;"-"&amp;RIGHT(YEAR(A309)+1,2),YEAR(A309)-1&amp;"-"&amp;RIGHT(YEAR(A309),2)))</f>
      </c>
    </row>
    <row r="310" spans="1:7" x14ac:dyDescent="0.25">
      <c r="A310" s="10"/>
      <c r="B310" s="11"/>
      <c r="C310" s="11"/>
      <c r="D310" s="11"/>
      <c r="E310" s="12"/>
      <c r="F310" s="11"/>
      <c r="G310" s="14">
        <f>IF(A310="","",IF(A310&gt;=DATE(YEAR(A310),4,6),YEAR(A310)&amp;"-"&amp;RIGHT(YEAR(A310)+1,2),YEAR(A310)-1&amp;"-"&amp;RIGHT(YEAR(A310),2)))</f>
      </c>
    </row>
    <row r="311" spans="1:7" x14ac:dyDescent="0.25">
      <c r="A311" s="10"/>
      <c r="B311" s="11"/>
      <c r="C311" s="11"/>
      <c r="D311" s="11"/>
      <c r="E311" s="12"/>
      <c r="F311" s="11"/>
      <c r="G311" s="14">
        <f>IF(A311="","",IF(A311&gt;=DATE(YEAR(A311),4,6),YEAR(A311)&amp;"-"&amp;RIGHT(YEAR(A311)+1,2),YEAR(A311)-1&amp;"-"&amp;RIGHT(YEAR(A311),2)))</f>
      </c>
    </row>
    <row r="312" spans="1:7" x14ac:dyDescent="0.25">
      <c r="A312" s="10"/>
      <c r="B312" s="11"/>
      <c r="C312" s="11"/>
      <c r="D312" s="11"/>
      <c r="E312" s="12"/>
      <c r="F312" s="11"/>
      <c r="G312" s="14">
        <f>IF(A312="","",IF(A312&gt;=DATE(YEAR(A312),4,6),YEAR(A312)&amp;"-"&amp;RIGHT(YEAR(A312)+1,2),YEAR(A312)-1&amp;"-"&amp;RIGHT(YEAR(A312),2)))</f>
      </c>
    </row>
    <row r="313" spans="1:7" x14ac:dyDescent="0.25">
      <c r="A313" s="10"/>
      <c r="B313" s="11"/>
      <c r="C313" s="11"/>
      <c r="D313" s="11"/>
      <c r="E313" s="12"/>
      <c r="F313" s="11"/>
      <c r="G313" s="14">
        <f>IF(A313="","",IF(A313&gt;=DATE(YEAR(A313),4,6),YEAR(A313)&amp;"-"&amp;RIGHT(YEAR(A313)+1,2),YEAR(A313)-1&amp;"-"&amp;RIGHT(YEAR(A313),2)))</f>
      </c>
    </row>
    <row r="314" spans="1:7" x14ac:dyDescent="0.25">
      <c r="A314" s="10"/>
      <c r="B314" s="11"/>
      <c r="C314" s="11"/>
      <c r="D314" s="11"/>
      <c r="E314" s="12"/>
      <c r="F314" s="11"/>
      <c r="G314" s="14">
        <f>IF(A314="","",IF(A314&gt;=DATE(YEAR(A314),4,6),YEAR(A314)&amp;"-"&amp;RIGHT(YEAR(A314)+1,2),YEAR(A314)-1&amp;"-"&amp;RIGHT(YEAR(A314),2)))</f>
      </c>
    </row>
    <row r="315" spans="1:7" x14ac:dyDescent="0.25">
      <c r="A315" s="10"/>
      <c r="B315" s="11"/>
      <c r="C315" s="11"/>
      <c r="D315" s="11"/>
      <c r="E315" s="12"/>
      <c r="F315" s="11"/>
      <c r="G315" s="14">
        <f>IF(A315="","",IF(A315&gt;=DATE(YEAR(A315),4,6),YEAR(A315)&amp;"-"&amp;RIGHT(YEAR(A315)+1,2),YEAR(A315)-1&amp;"-"&amp;RIGHT(YEAR(A315),2)))</f>
      </c>
    </row>
    <row r="316" spans="1:7" x14ac:dyDescent="0.25">
      <c r="A316" s="10"/>
      <c r="B316" s="11"/>
      <c r="C316" s="11"/>
      <c r="D316" s="11"/>
      <c r="E316" s="12"/>
      <c r="F316" s="11"/>
      <c r="G316" s="14">
        <f>IF(A316="","",IF(A316&gt;=DATE(YEAR(A316),4,6),YEAR(A316)&amp;"-"&amp;RIGHT(YEAR(A316)+1,2),YEAR(A316)-1&amp;"-"&amp;RIGHT(YEAR(A316),2)))</f>
      </c>
    </row>
    <row r="317" spans="1:7" x14ac:dyDescent="0.25">
      <c r="A317" s="10"/>
      <c r="B317" s="11"/>
      <c r="C317" s="11"/>
      <c r="D317" s="11"/>
      <c r="E317" s="12"/>
      <c r="F317" s="11"/>
      <c r="G317" s="14">
        <f>IF(A317="","",IF(A317&gt;=DATE(YEAR(A317),4,6),YEAR(A317)&amp;"-"&amp;RIGHT(YEAR(A317)+1,2),YEAR(A317)-1&amp;"-"&amp;RIGHT(YEAR(A317),2)))</f>
      </c>
    </row>
    <row r="318" spans="1:7" x14ac:dyDescent="0.25">
      <c r="A318" s="10"/>
      <c r="B318" s="11"/>
      <c r="C318" s="11"/>
      <c r="D318" s="11"/>
      <c r="E318" s="12"/>
      <c r="F318" s="11"/>
      <c r="G318" s="14">
        <f>IF(A318="","",IF(A318&gt;=DATE(YEAR(A318),4,6),YEAR(A318)&amp;"-"&amp;RIGHT(YEAR(A318)+1,2),YEAR(A318)-1&amp;"-"&amp;RIGHT(YEAR(A318),2)))</f>
      </c>
    </row>
    <row r="319" spans="1:7" x14ac:dyDescent="0.25">
      <c r="A319" s="10"/>
      <c r="B319" s="11"/>
      <c r="C319" s="11"/>
      <c r="D319" s="11"/>
      <c r="E319" s="12"/>
      <c r="F319" s="11"/>
      <c r="G319" s="14">
        <f>IF(A319="","",IF(A319&gt;=DATE(YEAR(A319),4,6),YEAR(A319)&amp;"-"&amp;RIGHT(YEAR(A319)+1,2),YEAR(A319)-1&amp;"-"&amp;RIGHT(YEAR(A319),2)))</f>
      </c>
    </row>
    <row r="320" spans="1:7" x14ac:dyDescent="0.25">
      <c r="A320" s="10"/>
      <c r="B320" s="11"/>
      <c r="C320" s="11"/>
      <c r="D320" s="11"/>
      <c r="E320" s="12"/>
      <c r="F320" s="11"/>
      <c r="G320" s="14">
        <f>IF(A320="","",IF(A320&gt;=DATE(YEAR(A320),4,6),YEAR(A320)&amp;"-"&amp;RIGHT(YEAR(A320)+1,2),YEAR(A320)-1&amp;"-"&amp;RIGHT(YEAR(A320),2)))</f>
      </c>
    </row>
    <row r="321" spans="1:7" x14ac:dyDescent="0.25">
      <c r="A321" s="10"/>
      <c r="B321" s="11"/>
      <c r="C321" s="11"/>
      <c r="D321" s="11"/>
      <c r="E321" s="12"/>
      <c r="F321" s="11"/>
      <c r="G321" s="14">
        <f>IF(A321="","",IF(A321&gt;=DATE(YEAR(A321),4,6),YEAR(A321)&amp;"-"&amp;RIGHT(YEAR(A321)+1,2),YEAR(A321)-1&amp;"-"&amp;RIGHT(YEAR(A321),2)))</f>
      </c>
    </row>
    <row r="322" spans="1:7" x14ac:dyDescent="0.25">
      <c r="A322" s="10"/>
      <c r="B322" s="11"/>
      <c r="C322" s="11"/>
      <c r="D322" s="11"/>
      <c r="E322" s="12"/>
      <c r="F322" s="11"/>
      <c r="G322" s="14">
        <f>IF(A322="","",IF(A322&gt;=DATE(YEAR(A322),4,6),YEAR(A322)&amp;"-"&amp;RIGHT(YEAR(A322)+1,2),YEAR(A322)-1&amp;"-"&amp;RIGHT(YEAR(A322),2)))</f>
      </c>
    </row>
    <row r="323" spans="1:7" x14ac:dyDescent="0.25">
      <c r="A323" s="10"/>
      <c r="B323" s="11"/>
      <c r="C323" s="11"/>
      <c r="D323" s="11"/>
      <c r="E323" s="12"/>
      <c r="F323" s="11"/>
      <c r="G323" s="14">
        <f>IF(A323="","",IF(A323&gt;=DATE(YEAR(A323),4,6),YEAR(A323)&amp;"-"&amp;RIGHT(YEAR(A323)+1,2),YEAR(A323)-1&amp;"-"&amp;RIGHT(YEAR(A323),2)))</f>
      </c>
    </row>
    <row r="324" spans="1:7" x14ac:dyDescent="0.25">
      <c r="A324" s="10"/>
      <c r="B324" s="11"/>
      <c r="C324" s="11"/>
      <c r="D324" s="11"/>
      <c r="E324" s="12"/>
      <c r="F324" s="11"/>
      <c r="G324" s="14">
        <f>IF(A324="","",IF(A324&gt;=DATE(YEAR(A324),4,6),YEAR(A324)&amp;"-"&amp;RIGHT(YEAR(A324)+1,2),YEAR(A324)-1&amp;"-"&amp;RIGHT(YEAR(A324),2)))</f>
      </c>
    </row>
    <row r="325" spans="1:7" x14ac:dyDescent="0.25">
      <c r="A325" s="10"/>
      <c r="B325" s="11"/>
      <c r="C325" s="11"/>
      <c r="D325" s="11"/>
      <c r="E325" s="12"/>
      <c r="F325" s="11"/>
      <c r="G325" s="14">
        <f>IF(A325="","",IF(A325&gt;=DATE(YEAR(A325),4,6),YEAR(A325)&amp;"-"&amp;RIGHT(YEAR(A325)+1,2),YEAR(A325)-1&amp;"-"&amp;RIGHT(YEAR(A325),2)))</f>
      </c>
    </row>
    <row r="326" spans="1:7" x14ac:dyDescent="0.25">
      <c r="A326" s="10"/>
      <c r="B326" s="11"/>
      <c r="C326" s="11"/>
      <c r="D326" s="11"/>
      <c r="E326" s="12"/>
      <c r="F326" s="11"/>
      <c r="G326" s="14">
        <f>IF(A326="","",IF(A326&gt;=DATE(YEAR(A326),4,6),YEAR(A326)&amp;"-"&amp;RIGHT(YEAR(A326)+1,2),YEAR(A326)-1&amp;"-"&amp;RIGHT(YEAR(A326),2)))</f>
      </c>
    </row>
    <row r="327" spans="1:7" x14ac:dyDescent="0.25">
      <c r="A327" s="10"/>
      <c r="B327" s="11"/>
      <c r="C327" s="11"/>
      <c r="D327" s="11"/>
      <c r="E327" s="12"/>
      <c r="F327" s="11"/>
      <c r="G327" s="14">
        <f>IF(A327="","",IF(A327&gt;=DATE(YEAR(A327),4,6),YEAR(A327)&amp;"-"&amp;RIGHT(YEAR(A327)+1,2),YEAR(A327)-1&amp;"-"&amp;RIGHT(YEAR(A327),2)))</f>
      </c>
    </row>
    <row r="328" spans="1:7" x14ac:dyDescent="0.25">
      <c r="A328" s="10"/>
      <c r="B328" s="11"/>
      <c r="C328" s="11"/>
      <c r="D328" s="11"/>
      <c r="E328" s="12"/>
      <c r="F328" s="11"/>
      <c r="G328" s="14">
        <f>IF(A328="","",IF(A328&gt;=DATE(YEAR(A328),4,6),YEAR(A328)&amp;"-"&amp;RIGHT(YEAR(A328)+1,2),YEAR(A328)-1&amp;"-"&amp;RIGHT(YEAR(A328),2)))</f>
      </c>
    </row>
    <row r="329" spans="1:7" x14ac:dyDescent="0.25">
      <c r="A329" s="10"/>
      <c r="B329" s="11"/>
      <c r="C329" s="11"/>
      <c r="D329" s="11"/>
      <c r="E329" s="12"/>
      <c r="F329" s="11"/>
      <c r="G329" s="14">
        <f>IF(A329="","",IF(A329&gt;=DATE(YEAR(A329),4,6),YEAR(A329)&amp;"-"&amp;RIGHT(YEAR(A329)+1,2),YEAR(A329)-1&amp;"-"&amp;RIGHT(YEAR(A329),2)))</f>
      </c>
    </row>
    <row r="330" spans="1:7" x14ac:dyDescent="0.25">
      <c r="A330" s="10"/>
      <c r="B330" s="11"/>
      <c r="C330" s="11"/>
      <c r="D330" s="11"/>
      <c r="E330" s="12"/>
      <c r="F330" s="11"/>
      <c r="G330" s="14">
        <f>IF(A330="","",IF(A330&gt;=DATE(YEAR(A330),4,6),YEAR(A330)&amp;"-"&amp;RIGHT(YEAR(A330)+1,2),YEAR(A330)-1&amp;"-"&amp;RIGHT(YEAR(A330),2)))</f>
      </c>
    </row>
    <row r="331" spans="1:7" x14ac:dyDescent="0.25">
      <c r="A331" s="10"/>
      <c r="B331" s="11"/>
      <c r="C331" s="11"/>
      <c r="D331" s="11"/>
      <c r="E331" s="12"/>
      <c r="F331" s="11"/>
      <c r="G331" s="14">
        <f>IF(A331="","",IF(A331&gt;=DATE(YEAR(A331),4,6),YEAR(A331)&amp;"-"&amp;RIGHT(YEAR(A331)+1,2),YEAR(A331)-1&amp;"-"&amp;RIGHT(YEAR(A331),2)))</f>
      </c>
    </row>
    <row r="332" spans="1:7" x14ac:dyDescent="0.25">
      <c r="A332" s="10"/>
      <c r="B332" s="11"/>
      <c r="C332" s="11"/>
      <c r="D332" s="11"/>
      <c r="E332" s="12"/>
      <c r="F332" s="11"/>
      <c r="G332" s="14">
        <f>IF(A332="","",IF(A332&gt;=DATE(YEAR(A332),4,6),YEAR(A332)&amp;"-"&amp;RIGHT(YEAR(A332)+1,2),YEAR(A332)-1&amp;"-"&amp;RIGHT(YEAR(A332),2)))</f>
      </c>
    </row>
    <row r="333" spans="1:7" x14ac:dyDescent="0.25">
      <c r="A333" s="10"/>
      <c r="B333" s="11"/>
      <c r="C333" s="11"/>
      <c r="D333" s="11"/>
      <c r="E333" s="12"/>
      <c r="F333" s="11"/>
      <c r="G333" s="14">
        <f>IF(A333="","",IF(A333&gt;=DATE(YEAR(A333),4,6),YEAR(A333)&amp;"-"&amp;RIGHT(YEAR(A333)+1,2),YEAR(A333)-1&amp;"-"&amp;RIGHT(YEAR(A333),2)))</f>
      </c>
    </row>
    <row r="334" spans="1:7" x14ac:dyDescent="0.25">
      <c r="A334" s="10"/>
      <c r="B334" s="11"/>
      <c r="C334" s="11"/>
      <c r="D334" s="11"/>
      <c r="E334" s="12"/>
      <c r="F334" s="11"/>
      <c r="G334" s="14">
        <f>IF(A334="","",IF(A334&gt;=DATE(YEAR(A334),4,6),YEAR(A334)&amp;"-"&amp;RIGHT(YEAR(A334)+1,2),YEAR(A334)-1&amp;"-"&amp;RIGHT(YEAR(A334),2)))</f>
      </c>
    </row>
    <row r="335" spans="1:7" x14ac:dyDescent="0.25">
      <c r="A335" s="10"/>
      <c r="B335" s="11"/>
      <c r="C335" s="11"/>
      <c r="D335" s="11"/>
      <c r="E335" s="12"/>
      <c r="F335" s="11"/>
      <c r="G335" s="14">
        <f>IF(A335="","",IF(A335&gt;=DATE(YEAR(A335),4,6),YEAR(A335)&amp;"-"&amp;RIGHT(YEAR(A335)+1,2),YEAR(A335)-1&amp;"-"&amp;RIGHT(YEAR(A335),2)))</f>
      </c>
    </row>
    <row r="336" spans="1:7" x14ac:dyDescent="0.25">
      <c r="A336" s="10"/>
      <c r="B336" s="11"/>
      <c r="C336" s="11"/>
      <c r="D336" s="11"/>
      <c r="E336" s="12"/>
      <c r="F336" s="11"/>
      <c r="G336" s="14">
        <f>IF(A336="","",IF(A336&gt;=DATE(YEAR(A336),4,6),YEAR(A336)&amp;"-"&amp;RIGHT(YEAR(A336)+1,2),YEAR(A336)-1&amp;"-"&amp;RIGHT(YEAR(A336),2)))</f>
      </c>
    </row>
    <row r="337" spans="1:7" x14ac:dyDescent="0.25">
      <c r="A337" s="10"/>
      <c r="B337" s="11"/>
      <c r="C337" s="11"/>
      <c r="D337" s="11"/>
      <c r="E337" s="12"/>
      <c r="F337" s="11"/>
      <c r="G337" s="14">
        <f>IF(A337="","",IF(A337&gt;=DATE(YEAR(A337),4,6),YEAR(A337)&amp;"-"&amp;RIGHT(YEAR(A337)+1,2),YEAR(A337)-1&amp;"-"&amp;RIGHT(YEAR(A337),2)))</f>
      </c>
    </row>
    <row r="338" spans="1:7" x14ac:dyDescent="0.25">
      <c r="A338" s="10"/>
      <c r="B338" s="11"/>
      <c r="C338" s="11"/>
      <c r="D338" s="11"/>
      <c r="E338" s="12"/>
      <c r="F338" s="11"/>
      <c r="G338" s="14">
        <f>IF(A338="","",IF(A338&gt;=DATE(YEAR(A338),4,6),YEAR(A338)&amp;"-"&amp;RIGHT(YEAR(A338)+1,2),YEAR(A338)-1&amp;"-"&amp;RIGHT(YEAR(A338),2)))</f>
      </c>
    </row>
    <row r="339" spans="1:7" x14ac:dyDescent="0.25">
      <c r="A339" s="10"/>
      <c r="B339" s="11"/>
      <c r="C339" s="11"/>
      <c r="D339" s="11"/>
      <c r="E339" s="12"/>
      <c r="F339" s="11"/>
      <c r="G339" s="14">
        <f>IF(A339="","",IF(A339&gt;=DATE(YEAR(A339),4,6),YEAR(A339)&amp;"-"&amp;RIGHT(YEAR(A339)+1,2),YEAR(A339)-1&amp;"-"&amp;RIGHT(YEAR(A339),2)))</f>
      </c>
    </row>
    <row r="340" spans="1:7" x14ac:dyDescent="0.25">
      <c r="A340" s="10"/>
      <c r="B340" s="11"/>
      <c r="C340" s="11"/>
      <c r="D340" s="11"/>
      <c r="E340" s="12"/>
      <c r="F340" s="11"/>
      <c r="G340" s="14">
        <f>IF(A340="","",IF(A340&gt;=DATE(YEAR(A340),4,6),YEAR(A340)&amp;"-"&amp;RIGHT(YEAR(A340)+1,2),YEAR(A340)-1&amp;"-"&amp;RIGHT(YEAR(A340),2)))</f>
      </c>
    </row>
    <row r="341" spans="1:7" x14ac:dyDescent="0.25">
      <c r="A341" s="10"/>
      <c r="B341" s="11"/>
      <c r="C341" s="11"/>
      <c r="D341" s="11"/>
      <c r="E341" s="12"/>
      <c r="F341" s="11"/>
      <c r="G341" s="14">
        <f>IF(A341="","",IF(A341&gt;=DATE(YEAR(A341),4,6),YEAR(A341)&amp;"-"&amp;RIGHT(YEAR(A341)+1,2),YEAR(A341)-1&amp;"-"&amp;RIGHT(YEAR(A341),2)))</f>
      </c>
    </row>
    <row r="342" spans="1:7" x14ac:dyDescent="0.25">
      <c r="A342" s="10"/>
      <c r="B342" s="11"/>
      <c r="C342" s="11"/>
      <c r="D342" s="11"/>
      <c r="E342" s="12"/>
      <c r="F342" s="11"/>
      <c r="G342" s="14">
        <f>IF(A342="","",IF(A342&gt;=DATE(YEAR(A342),4,6),YEAR(A342)&amp;"-"&amp;RIGHT(YEAR(A342)+1,2),YEAR(A342)-1&amp;"-"&amp;RIGHT(YEAR(A342),2)))</f>
      </c>
    </row>
    <row r="343" spans="1:7" x14ac:dyDescent="0.25">
      <c r="A343" s="10"/>
      <c r="B343" s="11"/>
      <c r="C343" s="11"/>
      <c r="D343" s="11"/>
      <c r="E343" s="12"/>
      <c r="F343" s="11"/>
      <c r="G343" s="14">
        <f>IF(A343="","",IF(A343&gt;=DATE(YEAR(A343),4,6),YEAR(A343)&amp;"-"&amp;RIGHT(YEAR(A343)+1,2),YEAR(A343)-1&amp;"-"&amp;RIGHT(YEAR(A343),2)))</f>
      </c>
    </row>
    <row r="344" spans="1:7" x14ac:dyDescent="0.25">
      <c r="A344" s="10"/>
      <c r="B344" s="11"/>
      <c r="C344" s="11"/>
      <c r="D344" s="11"/>
      <c r="E344" s="12"/>
      <c r="F344" s="11"/>
      <c r="G344" s="14">
        <f>IF(A344="","",IF(A344&gt;=DATE(YEAR(A344),4,6),YEAR(A344)&amp;"-"&amp;RIGHT(YEAR(A344)+1,2),YEAR(A344)-1&amp;"-"&amp;RIGHT(YEAR(A344),2)))</f>
      </c>
    </row>
    <row r="345" spans="1:7" x14ac:dyDescent="0.25">
      <c r="A345" s="10"/>
      <c r="B345" s="11"/>
      <c r="C345" s="11"/>
      <c r="D345" s="11"/>
      <c r="E345" s="12"/>
      <c r="F345" s="11"/>
      <c r="G345" s="14">
        <f>IF(A345="","",IF(A345&gt;=DATE(YEAR(A345),4,6),YEAR(A345)&amp;"-"&amp;RIGHT(YEAR(A345)+1,2),YEAR(A345)-1&amp;"-"&amp;RIGHT(YEAR(A345),2)))</f>
      </c>
    </row>
    <row r="346" spans="1:7" x14ac:dyDescent="0.25">
      <c r="A346" s="10"/>
      <c r="B346" s="11"/>
      <c r="C346" s="11"/>
      <c r="D346" s="11"/>
      <c r="E346" s="12"/>
      <c r="F346" s="11"/>
      <c r="G346" s="14">
        <f>IF(A346="","",IF(A346&gt;=DATE(YEAR(A346),4,6),YEAR(A346)&amp;"-"&amp;RIGHT(YEAR(A346)+1,2),YEAR(A346)-1&amp;"-"&amp;RIGHT(YEAR(A346),2)))</f>
      </c>
    </row>
    <row r="347" spans="1:7" x14ac:dyDescent="0.25">
      <c r="A347" s="10"/>
      <c r="B347" s="11"/>
      <c r="C347" s="11"/>
      <c r="D347" s="11"/>
      <c r="E347" s="12"/>
      <c r="F347" s="11"/>
      <c r="G347" s="14">
        <f>IF(A347="","",IF(A347&gt;=DATE(YEAR(A347),4,6),YEAR(A347)&amp;"-"&amp;RIGHT(YEAR(A347)+1,2),YEAR(A347)-1&amp;"-"&amp;RIGHT(YEAR(A347),2)))</f>
      </c>
    </row>
    <row r="348" spans="1:7" x14ac:dyDescent="0.25">
      <c r="A348" s="10"/>
      <c r="B348" s="11"/>
      <c r="C348" s="11"/>
      <c r="D348" s="11"/>
      <c r="E348" s="12"/>
      <c r="F348" s="11"/>
      <c r="G348" s="14">
        <f>IF(A348="","",IF(A348&gt;=DATE(YEAR(A348),4,6),YEAR(A348)&amp;"-"&amp;RIGHT(YEAR(A348)+1,2),YEAR(A348)-1&amp;"-"&amp;RIGHT(YEAR(A348),2)))</f>
      </c>
    </row>
    <row r="349" spans="1:7" x14ac:dyDescent="0.25">
      <c r="A349" s="10"/>
      <c r="B349" s="11"/>
      <c r="C349" s="11"/>
      <c r="D349" s="11"/>
      <c r="E349" s="12"/>
      <c r="F349" s="11"/>
      <c r="G349" s="14">
        <f>IF(A349="","",IF(A349&gt;=DATE(YEAR(A349),4,6),YEAR(A349)&amp;"-"&amp;RIGHT(YEAR(A349)+1,2),YEAR(A349)-1&amp;"-"&amp;RIGHT(YEAR(A349),2)))</f>
      </c>
    </row>
    <row r="350" spans="1:7" x14ac:dyDescent="0.25">
      <c r="A350" s="10"/>
      <c r="B350" s="11"/>
      <c r="C350" s="11"/>
      <c r="D350" s="11"/>
      <c r="E350" s="12"/>
      <c r="F350" s="11"/>
      <c r="G350" s="14">
        <f>IF(A350="","",IF(A350&gt;=DATE(YEAR(A350),4,6),YEAR(A350)&amp;"-"&amp;RIGHT(YEAR(A350)+1,2),YEAR(A350)-1&amp;"-"&amp;RIGHT(YEAR(A350),2)))</f>
      </c>
    </row>
    <row r="351" spans="1:7" x14ac:dyDescent="0.25">
      <c r="A351" s="10"/>
      <c r="B351" s="11"/>
      <c r="C351" s="11"/>
      <c r="D351" s="11"/>
      <c r="E351" s="12"/>
      <c r="F351" s="11"/>
      <c r="G351" s="14">
        <f>IF(A351="","",IF(A351&gt;=DATE(YEAR(A351),4,6),YEAR(A351)&amp;"-"&amp;RIGHT(YEAR(A351)+1,2),YEAR(A351)-1&amp;"-"&amp;RIGHT(YEAR(A351),2)))</f>
      </c>
    </row>
    <row r="352" spans="1:7" x14ac:dyDescent="0.25">
      <c r="A352" s="10"/>
      <c r="B352" s="11"/>
      <c r="C352" s="11"/>
      <c r="D352" s="11"/>
      <c r="E352" s="12"/>
      <c r="F352" s="11"/>
      <c r="G352" s="14">
        <f>IF(A352="","",IF(A352&gt;=DATE(YEAR(A352),4,6),YEAR(A352)&amp;"-"&amp;RIGHT(YEAR(A352)+1,2),YEAR(A352)-1&amp;"-"&amp;RIGHT(YEAR(A352),2)))</f>
      </c>
    </row>
    <row r="353" spans="1:7" x14ac:dyDescent="0.25">
      <c r="A353" s="10"/>
      <c r="B353" s="11"/>
      <c r="C353" s="11"/>
      <c r="D353" s="11"/>
      <c r="E353" s="12"/>
      <c r="F353" s="11"/>
      <c r="G353" s="14">
        <f>IF(A353="","",IF(A353&gt;=DATE(YEAR(A353),4,6),YEAR(A353)&amp;"-"&amp;RIGHT(YEAR(A353)+1,2),YEAR(A353)-1&amp;"-"&amp;RIGHT(YEAR(A353),2)))</f>
      </c>
    </row>
    <row r="354" spans="1:7" x14ac:dyDescent="0.25">
      <c r="A354" s="10"/>
      <c r="B354" s="11"/>
      <c r="C354" s="11"/>
      <c r="D354" s="11"/>
      <c r="E354" s="12"/>
      <c r="F354" s="11"/>
      <c r="G354" s="14">
        <f>IF(A354="","",IF(A354&gt;=DATE(YEAR(A354),4,6),YEAR(A354)&amp;"-"&amp;RIGHT(YEAR(A354)+1,2),YEAR(A354)-1&amp;"-"&amp;RIGHT(YEAR(A354),2)))</f>
      </c>
    </row>
    <row r="355" spans="1:7" x14ac:dyDescent="0.25">
      <c r="A355" s="10"/>
      <c r="B355" s="11"/>
      <c r="C355" s="11"/>
      <c r="D355" s="11"/>
      <c r="E355" s="12"/>
      <c r="F355" s="11"/>
      <c r="G355" s="14">
        <f>IF(A355="","",IF(A355&gt;=DATE(YEAR(A355),4,6),YEAR(A355)&amp;"-"&amp;RIGHT(YEAR(A355)+1,2),YEAR(A355)-1&amp;"-"&amp;RIGHT(YEAR(A355),2)))</f>
      </c>
    </row>
    <row r="356" spans="1:7" x14ac:dyDescent="0.25">
      <c r="A356" s="10"/>
      <c r="B356" s="11"/>
      <c r="C356" s="11"/>
      <c r="D356" s="11"/>
      <c r="E356" s="12"/>
      <c r="F356" s="11"/>
      <c r="G356" s="14">
        <f>IF(A356="","",IF(A356&gt;=DATE(YEAR(A356),4,6),YEAR(A356)&amp;"-"&amp;RIGHT(YEAR(A356)+1,2),YEAR(A356)-1&amp;"-"&amp;RIGHT(YEAR(A356),2)))</f>
      </c>
    </row>
    <row r="357" spans="1:7" x14ac:dyDescent="0.25">
      <c r="A357" s="10"/>
      <c r="B357" s="11"/>
      <c r="C357" s="11"/>
      <c r="D357" s="11"/>
      <c r="E357" s="12"/>
      <c r="F357" s="11"/>
      <c r="G357" s="14">
        <f>IF(A357="","",IF(A357&gt;=DATE(YEAR(A357),4,6),YEAR(A357)&amp;"-"&amp;RIGHT(YEAR(A357)+1,2),YEAR(A357)-1&amp;"-"&amp;RIGHT(YEAR(A357),2)))</f>
      </c>
    </row>
    <row r="358" spans="1:7" x14ac:dyDescent="0.25">
      <c r="A358" s="10"/>
      <c r="B358" s="11"/>
      <c r="C358" s="11"/>
      <c r="D358" s="11"/>
      <c r="E358" s="12"/>
      <c r="F358" s="11"/>
      <c r="G358" s="14">
        <f>IF(A358="","",IF(A358&gt;=DATE(YEAR(A358),4,6),YEAR(A358)&amp;"-"&amp;RIGHT(YEAR(A358)+1,2),YEAR(A358)-1&amp;"-"&amp;RIGHT(YEAR(A358),2)))</f>
      </c>
    </row>
    <row r="359" spans="1:7" x14ac:dyDescent="0.25">
      <c r="A359" s="10"/>
      <c r="B359" s="11"/>
      <c r="C359" s="11"/>
      <c r="D359" s="11"/>
      <c r="E359" s="12"/>
      <c r="F359" s="11"/>
      <c r="G359" s="14">
        <f>IF(A359="","",IF(A359&gt;=DATE(YEAR(A359),4,6),YEAR(A359)&amp;"-"&amp;RIGHT(YEAR(A359)+1,2),YEAR(A359)-1&amp;"-"&amp;RIGHT(YEAR(A359),2)))</f>
      </c>
    </row>
    <row r="360" spans="1:7" x14ac:dyDescent="0.25">
      <c r="A360" s="10"/>
      <c r="B360" s="11"/>
      <c r="C360" s="11"/>
      <c r="D360" s="11"/>
      <c r="E360" s="12"/>
      <c r="F360" s="11"/>
      <c r="G360" s="14">
        <f>IF(A360="","",IF(A360&gt;=DATE(YEAR(A360),4,6),YEAR(A360)&amp;"-"&amp;RIGHT(YEAR(A360)+1,2),YEAR(A360)-1&amp;"-"&amp;RIGHT(YEAR(A360),2)))</f>
      </c>
    </row>
    <row r="361" spans="1:7" x14ac:dyDescent="0.25">
      <c r="A361" s="10"/>
      <c r="B361" s="11"/>
      <c r="C361" s="11"/>
      <c r="D361" s="11"/>
      <c r="E361" s="12"/>
      <c r="F361" s="11"/>
      <c r="G361" s="14">
        <f>IF(A361="","",IF(A361&gt;=DATE(YEAR(A361),4,6),YEAR(A361)&amp;"-"&amp;RIGHT(YEAR(A361)+1,2),YEAR(A361)-1&amp;"-"&amp;RIGHT(YEAR(A361),2)))</f>
      </c>
    </row>
    <row r="362" spans="1:7" x14ac:dyDescent="0.25">
      <c r="A362" s="10"/>
      <c r="B362" s="11"/>
      <c r="C362" s="11"/>
      <c r="D362" s="11"/>
      <c r="E362" s="12"/>
      <c r="F362" s="11"/>
      <c r="G362" s="14">
        <f>IF(A362="","",IF(A362&gt;=DATE(YEAR(A362),4,6),YEAR(A362)&amp;"-"&amp;RIGHT(YEAR(A362)+1,2),YEAR(A362)-1&amp;"-"&amp;RIGHT(YEAR(A362),2)))</f>
      </c>
    </row>
    <row r="363" spans="1:7" x14ac:dyDescent="0.25">
      <c r="A363" s="10"/>
      <c r="B363" s="11"/>
      <c r="C363" s="11"/>
      <c r="D363" s="11"/>
      <c r="E363" s="12"/>
      <c r="F363" s="11"/>
      <c r="G363" s="14">
        <f>IF(A363="","",IF(A363&gt;=DATE(YEAR(A363),4,6),YEAR(A363)&amp;"-"&amp;RIGHT(YEAR(A363)+1,2),YEAR(A363)-1&amp;"-"&amp;RIGHT(YEAR(A363),2)))</f>
      </c>
    </row>
    <row r="364" spans="1:7" x14ac:dyDescent="0.25">
      <c r="A364" s="10"/>
      <c r="B364" s="11"/>
      <c r="C364" s="11"/>
      <c r="D364" s="11"/>
      <c r="E364" s="12"/>
      <c r="F364" s="11"/>
      <c r="G364" s="14">
        <f>IF(A364="","",IF(A364&gt;=DATE(YEAR(A364),4,6),YEAR(A364)&amp;"-"&amp;RIGHT(YEAR(A364)+1,2),YEAR(A364)-1&amp;"-"&amp;RIGHT(YEAR(A364),2)))</f>
      </c>
    </row>
    <row r="365" spans="1:7" x14ac:dyDescent="0.25">
      <c r="A365" s="10"/>
      <c r="B365" s="11"/>
      <c r="C365" s="11"/>
      <c r="D365" s="11"/>
      <c r="E365" s="12"/>
      <c r="F365" s="11"/>
      <c r="G365" s="14">
        <f>IF(A365="","",IF(A365&gt;=DATE(YEAR(A365),4,6),YEAR(A365)&amp;"-"&amp;RIGHT(YEAR(A365)+1,2),YEAR(A365)-1&amp;"-"&amp;RIGHT(YEAR(A365),2)))</f>
      </c>
    </row>
    <row r="366" spans="1:7" x14ac:dyDescent="0.25">
      <c r="A366" s="10"/>
      <c r="B366" s="11"/>
      <c r="C366" s="11"/>
      <c r="D366" s="11"/>
      <c r="E366" s="12"/>
      <c r="F366" s="11"/>
      <c r="G366" s="14">
        <f>IF(A366="","",IF(A366&gt;=DATE(YEAR(A366),4,6),YEAR(A366)&amp;"-"&amp;RIGHT(YEAR(A366)+1,2),YEAR(A366)-1&amp;"-"&amp;RIGHT(YEAR(A366),2)))</f>
      </c>
    </row>
    <row r="367" spans="1:7" x14ac:dyDescent="0.25">
      <c r="A367" s="10"/>
      <c r="B367" s="11"/>
      <c r="C367" s="11"/>
      <c r="D367" s="11"/>
      <c r="E367" s="12"/>
      <c r="F367" s="11"/>
      <c r="G367" s="14">
        <f>IF(A367="","",IF(A367&gt;=DATE(YEAR(A367),4,6),YEAR(A367)&amp;"-"&amp;RIGHT(YEAR(A367)+1,2),YEAR(A367)-1&amp;"-"&amp;RIGHT(YEAR(A367),2)))</f>
      </c>
    </row>
    <row r="368" spans="1:7" x14ac:dyDescent="0.25">
      <c r="A368" s="10"/>
      <c r="B368" s="11"/>
      <c r="C368" s="11"/>
      <c r="D368" s="11"/>
      <c r="E368" s="12"/>
      <c r="F368" s="11"/>
      <c r="G368" s="14">
        <f>IF(A368="","",IF(A368&gt;=DATE(YEAR(A368),4,6),YEAR(A368)&amp;"-"&amp;RIGHT(YEAR(A368)+1,2),YEAR(A368)-1&amp;"-"&amp;RIGHT(YEAR(A368),2)))</f>
      </c>
    </row>
    <row r="369" spans="1:7" x14ac:dyDescent="0.25">
      <c r="A369" s="10"/>
      <c r="B369" s="11"/>
      <c r="C369" s="11"/>
      <c r="D369" s="11"/>
      <c r="E369" s="12"/>
      <c r="F369" s="11"/>
      <c r="G369" s="14">
        <f>IF(A369="","",IF(A369&gt;=DATE(YEAR(A369),4,6),YEAR(A369)&amp;"-"&amp;RIGHT(YEAR(A369)+1,2),YEAR(A369)-1&amp;"-"&amp;RIGHT(YEAR(A369),2)))</f>
      </c>
    </row>
    <row r="370" spans="1:7" x14ac:dyDescent="0.25">
      <c r="A370" s="10"/>
      <c r="B370" s="11"/>
      <c r="C370" s="11"/>
      <c r="D370" s="11"/>
      <c r="E370" s="12"/>
      <c r="F370" s="11"/>
      <c r="G370" s="14">
        <f>IF(A370="","",IF(A370&gt;=DATE(YEAR(A370),4,6),YEAR(A370)&amp;"-"&amp;RIGHT(YEAR(A370)+1,2),YEAR(A370)-1&amp;"-"&amp;RIGHT(YEAR(A370),2)))</f>
      </c>
    </row>
    <row r="371" spans="1:7" x14ac:dyDescent="0.25">
      <c r="A371" s="10"/>
      <c r="B371" s="11"/>
      <c r="C371" s="11"/>
      <c r="D371" s="11"/>
      <c r="E371" s="12"/>
      <c r="F371" s="11"/>
      <c r="G371" s="14">
        <f>IF(A371="","",IF(A371&gt;=DATE(YEAR(A371),4,6),YEAR(A371)&amp;"-"&amp;RIGHT(YEAR(A371)+1,2),YEAR(A371)-1&amp;"-"&amp;RIGHT(YEAR(A371),2)))</f>
      </c>
    </row>
    <row r="372" spans="1:7" x14ac:dyDescent="0.25">
      <c r="A372" s="10"/>
      <c r="B372" s="11"/>
      <c r="C372" s="11"/>
      <c r="D372" s="11"/>
      <c r="E372" s="12"/>
      <c r="F372" s="11"/>
      <c r="G372" s="14">
        <f>IF(A372="","",IF(A372&gt;=DATE(YEAR(A372),4,6),YEAR(A372)&amp;"-"&amp;RIGHT(YEAR(A372)+1,2),YEAR(A372)-1&amp;"-"&amp;RIGHT(YEAR(A372),2)))</f>
      </c>
    </row>
    <row r="373" spans="1:7" x14ac:dyDescent="0.25">
      <c r="A373" s="10"/>
      <c r="B373" s="11"/>
      <c r="C373" s="11"/>
      <c r="D373" s="11"/>
      <c r="E373" s="12"/>
      <c r="F373" s="11"/>
      <c r="G373" s="14">
        <f>IF(A373="","",IF(A373&gt;=DATE(YEAR(A373),4,6),YEAR(A373)&amp;"-"&amp;RIGHT(YEAR(A373)+1,2),YEAR(A373)-1&amp;"-"&amp;RIGHT(YEAR(A373),2)))</f>
      </c>
    </row>
    <row r="374" spans="1:7" x14ac:dyDescent="0.25">
      <c r="A374" s="10"/>
      <c r="B374" s="11"/>
      <c r="C374" s="11"/>
      <c r="D374" s="11"/>
      <c r="E374" s="12"/>
      <c r="F374" s="11"/>
      <c r="G374" s="14">
        <f>IF(A374="","",IF(A374&gt;=DATE(YEAR(A374),4,6),YEAR(A374)&amp;"-"&amp;RIGHT(YEAR(A374)+1,2),YEAR(A374)-1&amp;"-"&amp;RIGHT(YEAR(A374),2)))</f>
      </c>
    </row>
    <row r="375" spans="1:7" x14ac:dyDescent="0.25">
      <c r="A375" s="10"/>
      <c r="B375" s="11"/>
      <c r="C375" s="11"/>
      <c r="D375" s="11"/>
      <c r="E375" s="12"/>
      <c r="F375" s="11"/>
      <c r="G375" s="14">
        <f>IF(A375="","",IF(A375&gt;=DATE(YEAR(A375),4,6),YEAR(A375)&amp;"-"&amp;RIGHT(YEAR(A375)+1,2),YEAR(A375)-1&amp;"-"&amp;RIGHT(YEAR(A375),2)))</f>
      </c>
    </row>
    <row r="376" spans="1:7" x14ac:dyDescent="0.25">
      <c r="A376" s="10"/>
      <c r="B376" s="11"/>
      <c r="C376" s="11"/>
      <c r="D376" s="11"/>
      <c r="E376" s="12"/>
      <c r="F376" s="11"/>
      <c r="G376" s="14">
        <f>IF(A376="","",IF(A376&gt;=DATE(YEAR(A376),4,6),YEAR(A376)&amp;"-"&amp;RIGHT(YEAR(A376)+1,2),YEAR(A376)-1&amp;"-"&amp;RIGHT(YEAR(A376),2)))</f>
      </c>
    </row>
    <row r="377" spans="1:7" x14ac:dyDescent="0.25">
      <c r="A377" s="10"/>
      <c r="B377" s="11"/>
      <c r="C377" s="11"/>
      <c r="D377" s="11"/>
      <c r="E377" s="12"/>
      <c r="F377" s="11"/>
      <c r="G377" s="14">
        <f>IF(A377="","",IF(A377&gt;=DATE(YEAR(A377),4,6),YEAR(A377)&amp;"-"&amp;RIGHT(YEAR(A377)+1,2),YEAR(A377)-1&amp;"-"&amp;RIGHT(YEAR(A377),2)))</f>
      </c>
    </row>
    <row r="378" spans="1:7" x14ac:dyDescent="0.25">
      <c r="A378" s="10"/>
      <c r="B378" s="11"/>
      <c r="C378" s="11"/>
      <c r="D378" s="11"/>
      <c r="E378" s="12"/>
      <c r="F378" s="11"/>
      <c r="G378" s="14">
        <f>IF(A378="","",IF(A378&gt;=DATE(YEAR(A378),4,6),YEAR(A378)&amp;"-"&amp;RIGHT(YEAR(A378)+1,2),YEAR(A378)-1&amp;"-"&amp;RIGHT(YEAR(A378),2)))</f>
      </c>
    </row>
    <row r="379" spans="1:7" x14ac:dyDescent="0.25">
      <c r="A379" s="10"/>
      <c r="B379" s="11"/>
      <c r="C379" s="11"/>
      <c r="D379" s="11"/>
      <c r="E379" s="12"/>
      <c r="F379" s="11"/>
      <c r="G379" s="14">
        <f>IF(A379="","",IF(A379&gt;=DATE(YEAR(A379),4,6),YEAR(A379)&amp;"-"&amp;RIGHT(YEAR(A379)+1,2),YEAR(A379)-1&amp;"-"&amp;RIGHT(YEAR(A379),2)))</f>
      </c>
    </row>
    <row r="380" spans="1:7" x14ac:dyDescent="0.25">
      <c r="A380" s="10"/>
      <c r="B380" s="11"/>
      <c r="C380" s="11"/>
      <c r="D380" s="11"/>
      <c r="E380" s="12"/>
      <c r="F380" s="11"/>
      <c r="G380" s="14">
        <f>IF(A380="","",IF(A380&gt;=DATE(YEAR(A380),4,6),YEAR(A380)&amp;"-"&amp;RIGHT(YEAR(A380)+1,2),YEAR(A380)-1&amp;"-"&amp;RIGHT(YEAR(A380),2)))</f>
      </c>
    </row>
    <row r="381" spans="1:7" x14ac:dyDescent="0.25">
      <c r="A381" s="10"/>
      <c r="B381" s="11"/>
      <c r="C381" s="11"/>
      <c r="D381" s="11"/>
      <c r="E381" s="12"/>
      <c r="F381" s="11"/>
      <c r="G381" s="14">
        <f>IF(A381="","",IF(A381&gt;=DATE(YEAR(A381),4,6),YEAR(A381)&amp;"-"&amp;RIGHT(YEAR(A381)+1,2),YEAR(A381)-1&amp;"-"&amp;RIGHT(YEAR(A381),2)))</f>
      </c>
    </row>
    <row r="382" spans="1:7" x14ac:dyDescent="0.25">
      <c r="A382" s="10"/>
      <c r="B382" s="11"/>
      <c r="C382" s="11"/>
      <c r="D382" s="11"/>
      <c r="E382" s="12"/>
      <c r="F382" s="11"/>
      <c r="G382" s="14">
        <f>IF(A382="","",IF(A382&gt;=DATE(YEAR(A382),4,6),YEAR(A382)&amp;"-"&amp;RIGHT(YEAR(A382)+1,2),YEAR(A382)-1&amp;"-"&amp;RIGHT(YEAR(A382),2)))</f>
      </c>
    </row>
    <row r="383" spans="1:7" x14ac:dyDescent="0.25">
      <c r="A383" s="10"/>
      <c r="B383" s="11"/>
      <c r="C383" s="11"/>
      <c r="D383" s="11"/>
      <c r="E383" s="12"/>
      <c r="F383" s="11"/>
      <c r="G383" s="14">
        <f>IF(A383="","",IF(A383&gt;=DATE(YEAR(A383),4,6),YEAR(A383)&amp;"-"&amp;RIGHT(YEAR(A383)+1,2),YEAR(A383)-1&amp;"-"&amp;RIGHT(YEAR(A383),2)))</f>
      </c>
    </row>
    <row r="384" spans="1:7" x14ac:dyDescent="0.25">
      <c r="A384" s="10"/>
      <c r="B384" s="11"/>
      <c r="C384" s="11"/>
      <c r="D384" s="11"/>
      <c r="E384" s="12"/>
      <c r="F384" s="11"/>
      <c r="G384" s="14">
        <f>IF(A384="","",IF(A384&gt;=DATE(YEAR(A384),4,6),YEAR(A384)&amp;"-"&amp;RIGHT(YEAR(A384)+1,2),YEAR(A384)-1&amp;"-"&amp;RIGHT(YEAR(A384),2)))</f>
      </c>
    </row>
    <row r="385" spans="1:7" x14ac:dyDescent="0.25">
      <c r="A385" s="10"/>
      <c r="B385" s="11"/>
      <c r="C385" s="11"/>
      <c r="D385" s="11"/>
      <c r="E385" s="12"/>
      <c r="F385" s="11"/>
      <c r="G385" s="14">
        <f>IF(A385="","",IF(A385&gt;=DATE(YEAR(A385),4,6),YEAR(A385)&amp;"-"&amp;RIGHT(YEAR(A385)+1,2),YEAR(A385)-1&amp;"-"&amp;RIGHT(YEAR(A385),2)))</f>
      </c>
    </row>
    <row r="386" spans="1:7" x14ac:dyDescent="0.25">
      <c r="A386" s="10"/>
      <c r="B386" s="11"/>
      <c r="C386" s="11"/>
      <c r="D386" s="11"/>
      <c r="E386" s="12"/>
      <c r="F386" s="11"/>
      <c r="G386" s="14">
        <f>IF(A386="","",IF(A386&gt;=DATE(YEAR(A386),4,6),YEAR(A386)&amp;"-"&amp;RIGHT(YEAR(A386)+1,2),YEAR(A386)-1&amp;"-"&amp;RIGHT(YEAR(A386),2)))</f>
      </c>
    </row>
    <row r="387" spans="1:7" x14ac:dyDescent="0.25">
      <c r="A387" s="10"/>
      <c r="B387" s="11"/>
      <c r="C387" s="11"/>
      <c r="D387" s="11"/>
      <c r="E387" s="12"/>
      <c r="F387" s="11"/>
      <c r="G387" s="14">
        <f>IF(A387="","",IF(A387&gt;=DATE(YEAR(A387),4,6),YEAR(A387)&amp;"-"&amp;RIGHT(YEAR(A387)+1,2),YEAR(A387)-1&amp;"-"&amp;RIGHT(YEAR(A387),2)))</f>
      </c>
    </row>
    <row r="388" spans="1:7" x14ac:dyDescent="0.25">
      <c r="A388" s="10"/>
      <c r="B388" s="11"/>
      <c r="C388" s="11"/>
      <c r="D388" s="11"/>
      <c r="E388" s="12"/>
      <c r="F388" s="11"/>
      <c r="G388" s="14">
        <f>IF(A388="","",IF(A388&gt;=DATE(YEAR(A388),4,6),YEAR(A388)&amp;"-"&amp;RIGHT(YEAR(A388)+1,2),YEAR(A388)-1&amp;"-"&amp;RIGHT(YEAR(A388),2)))</f>
      </c>
    </row>
    <row r="389" spans="1:7" x14ac:dyDescent="0.25">
      <c r="A389" s="10"/>
      <c r="B389" s="11"/>
      <c r="C389" s="11"/>
      <c r="D389" s="11"/>
      <c r="E389" s="12"/>
      <c r="F389" s="11"/>
      <c r="G389" s="14">
        <f>IF(A389="","",IF(A389&gt;=DATE(YEAR(A389),4,6),YEAR(A389)&amp;"-"&amp;RIGHT(YEAR(A389)+1,2),YEAR(A389)-1&amp;"-"&amp;RIGHT(YEAR(A389),2)))</f>
      </c>
    </row>
    <row r="390" spans="1:7" x14ac:dyDescent="0.25">
      <c r="A390" s="10"/>
      <c r="B390" s="11"/>
      <c r="C390" s="11"/>
      <c r="D390" s="11"/>
      <c r="E390" s="12"/>
      <c r="F390" s="11"/>
      <c r="G390" s="14">
        <f>IF(A390="","",IF(A390&gt;=DATE(YEAR(A390),4,6),YEAR(A390)&amp;"-"&amp;RIGHT(YEAR(A390)+1,2),YEAR(A390)-1&amp;"-"&amp;RIGHT(YEAR(A390),2)))</f>
      </c>
    </row>
    <row r="391" spans="1:7" x14ac:dyDescent="0.25">
      <c r="A391" s="10"/>
      <c r="B391" s="11"/>
      <c r="C391" s="11"/>
      <c r="D391" s="11"/>
      <c r="E391" s="12"/>
      <c r="F391" s="11"/>
      <c r="G391" s="14">
        <f>IF(A391="","",IF(A391&gt;=DATE(YEAR(A391),4,6),YEAR(A391)&amp;"-"&amp;RIGHT(YEAR(A391)+1,2),YEAR(A391)-1&amp;"-"&amp;RIGHT(YEAR(A391),2)))</f>
      </c>
    </row>
    <row r="392" spans="1:7" x14ac:dyDescent="0.25">
      <c r="A392" s="10"/>
      <c r="B392" s="11"/>
      <c r="C392" s="11"/>
      <c r="D392" s="11"/>
      <c r="E392" s="12"/>
      <c r="F392" s="11"/>
      <c r="G392" s="14">
        <f>IF(A392="","",IF(A392&gt;=DATE(YEAR(A392),4,6),YEAR(A392)&amp;"-"&amp;RIGHT(YEAR(A392)+1,2),YEAR(A392)-1&amp;"-"&amp;RIGHT(YEAR(A392),2)))</f>
      </c>
    </row>
    <row r="393" spans="1:7" x14ac:dyDescent="0.25">
      <c r="A393" s="10"/>
      <c r="B393" s="11"/>
      <c r="C393" s="11"/>
      <c r="D393" s="11"/>
      <c r="E393" s="12"/>
      <c r="F393" s="11"/>
      <c r="G393" s="14">
        <f>IF(A393="","",IF(A393&gt;=DATE(YEAR(A393),4,6),YEAR(A393)&amp;"-"&amp;RIGHT(YEAR(A393)+1,2),YEAR(A393)-1&amp;"-"&amp;RIGHT(YEAR(A393),2)))</f>
      </c>
    </row>
    <row r="394" spans="1:7" x14ac:dyDescent="0.25">
      <c r="A394" s="10"/>
      <c r="B394" s="11"/>
      <c r="C394" s="11"/>
      <c r="D394" s="11"/>
      <c r="E394" s="12"/>
      <c r="F394" s="11"/>
      <c r="G394" s="14">
        <f>IF(A394="","",IF(A394&gt;=DATE(YEAR(A394),4,6),YEAR(A394)&amp;"-"&amp;RIGHT(YEAR(A394)+1,2),YEAR(A394)-1&amp;"-"&amp;RIGHT(YEAR(A394),2)))</f>
      </c>
    </row>
    <row r="395" spans="1:7" x14ac:dyDescent="0.25">
      <c r="A395" s="10"/>
      <c r="B395" s="11"/>
      <c r="C395" s="11"/>
      <c r="D395" s="11"/>
      <c r="E395" s="12"/>
      <c r="F395" s="11"/>
      <c r="G395" s="14">
        <f>IF(A395="","",IF(A395&gt;=DATE(YEAR(A395),4,6),YEAR(A395)&amp;"-"&amp;RIGHT(YEAR(A395)+1,2),YEAR(A395)-1&amp;"-"&amp;RIGHT(YEAR(A395),2)))</f>
      </c>
    </row>
    <row r="396" spans="1:7" x14ac:dyDescent="0.25">
      <c r="A396" s="10"/>
      <c r="B396" s="11"/>
      <c r="C396" s="11"/>
      <c r="D396" s="11"/>
      <c r="E396" s="12"/>
      <c r="F396" s="11"/>
      <c r="G396" s="14">
        <f>IF(A396="","",IF(A396&gt;=DATE(YEAR(A396),4,6),YEAR(A396)&amp;"-"&amp;RIGHT(YEAR(A396)+1,2),YEAR(A396)-1&amp;"-"&amp;RIGHT(YEAR(A396),2)))</f>
      </c>
    </row>
    <row r="397" spans="1:7" x14ac:dyDescent="0.25">
      <c r="A397" s="10"/>
      <c r="B397" s="11"/>
      <c r="C397" s="11"/>
      <c r="D397" s="11"/>
      <c r="E397" s="12"/>
      <c r="F397" s="11"/>
      <c r="G397" s="14">
        <f>IF(A397="","",IF(A397&gt;=DATE(YEAR(A397),4,6),YEAR(A397)&amp;"-"&amp;RIGHT(YEAR(A397)+1,2),YEAR(A397)-1&amp;"-"&amp;RIGHT(YEAR(A397),2)))</f>
      </c>
    </row>
    <row r="398" spans="1:7" x14ac:dyDescent="0.25">
      <c r="A398" s="10"/>
      <c r="B398" s="11"/>
      <c r="C398" s="11"/>
      <c r="D398" s="11"/>
      <c r="E398" s="12"/>
      <c r="F398" s="11"/>
      <c r="G398" s="14">
        <f>IF(A398="","",IF(A398&gt;=DATE(YEAR(A398),4,6),YEAR(A398)&amp;"-"&amp;RIGHT(YEAR(A398)+1,2),YEAR(A398)-1&amp;"-"&amp;RIGHT(YEAR(A398),2)))</f>
      </c>
    </row>
    <row r="399" spans="1:7" x14ac:dyDescent="0.25">
      <c r="A399" s="10"/>
      <c r="B399" s="11"/>
      <c r="C399" s="11"/>
      <c r="D399" s="11"/>
      <c r="E399" s="12"/>
      <c r="F399" s="11"/>
      <c r="G399" s="14">
        <f>IF(A399="","",IF(A399&gt;=DATE(YEAR(A399),4,6),YEAR(A399)&amp;"-"&amp;RIGHT(YEAR(A399)+1,2),YEAR(A399)-1&amp;"-"&amp;RIGHT(YEAR(A399),2)))</f>
      </c>
    </row>
    <row r="400" spans="1:7" x14ac:dyDescent="0.25">
      <c r="A400" s="10"/>
      <c r="B400" s="11"/>
      <c r="C400" s="11"/>
      <c r="D400" s="11"/>
      <c r="E400" s="12"/>
      <c r="F400" s="11"/>
      <c r="G400" s="14">
        <f>IF(A400="","",IF(A400&gt;=DATE(YEAR(A400),4,6),YEAR(A400)&amp;"-"&amp;RIGHT(YEAR(A400)+1,2),YEAR(A400)-1&amp;"-"&amp;RIGHT(YEAR(A400),2)))</f>
      </c>
    </row>
    <row r="401" spans="1:7" x14ac:dyDescent="0.25">
      <c r="A401" s="10"/>
      <c r="B401" s="11"/>
      <c r="C401" s="11"/>
      <c r="D401" s="11"/>
      <c r="E401" s="12"/>
      <c r="F401" s="11"/>
      <c r="G401" s="14">
        <f>IF(A401="","",IF(A401&gt;=DATE(YEAR(A401),4,6),YEAR(A401)&amp;"-"&amp;RIGHT(YEAR(A401)+1,2),YEAR(A401)-1&amp;"-"&amp;RIGHT(YEAR(A401),2)))</f>
      </c>
    </row>
    <row r="402" spans="1:7" x14ac:dyDescent="0.25">
      <c r="A402" s="10"/>
      <c r="B402" s="11"/>
      <c r="C402" s="11"/>
      <c r="D402" s="11"/>
      <c r="E402" s="12"/>
      <c r="F402" s="11"/>
      <c r="G402" s="14">
        <f>IF(A402="","",IF(A402&gt;=DATE(YEAR(A402),4,6),YEAR(A402)&amp;"-"&amp;RIGHT(YEAR(A402)+1,2),YEAR(A402)-1&amp;"-"&amp;RIGHT(YEAR(A402),2)))</f>
      </c>
    </row>
    <row r="403" spans="1:7" x14ac:dyDescent="0.25">
      <c r="A403" s="10"/>
      <c r="B403" s="11"/>
      <c r="C403" s="11"/>
      <c r="D403" s="11"/>
      <c r="E403" s="12"/>
      <c r="F403" s="11"/>
      <c r="G403" s="14">
        <f>IF(A403="","",IF(A403&gt;=DATE(YEAR(A403),4,6),YEAR(A403)&amp;"-"&amp;RIGHT(YEAR(A403)+1,2),YEAR(A403)-1&amp;"-"&amp;RIGHT(YEAR(A403),2)))</f>
      </c>
    </row>
    <row r="404" spans="1:7" x14ac:dyDescent="0.25">
      <c r="A404" s="10"/>
      <c r="B404" s="11"/>
      <c r="C404" s="11"/>
      <c r="D404" s="11"/>
      <c r="E404" s="12"/>
      <c r="F404" s="11"/>
      <c r="G404" s="14">
        <f>IF(A404="","",IF(A404&gt;=DATE(YEAR(A404),4,6),YEAR(A404)&amp;"-"&amp;RIGHT(YEAR(A404)+1,2),YEAR(A404)-1&amp;"-"&amp;RIGHT(YEAR(A404),2)))</f>
      </c>
    </row>
    <row r="405" spans="1:7" x14ac:dyDescent="0.25">
      <c r="A405" s="10"/>
      <c r="B405" s="11"/>
      <c r="C405" s="11"/>
      <c r="D405" s="11"/>
      <c r="E405" s="12"/>
      <c r="F405" s="11"/>
      <c r="G405" s="14">
        <f>IF(A405="","",IF(A405&gt;=DATE(YEAR(A405),4,6),YEAR(A405)&amp;"-"&amp;RIGHT(YEAR(A405)+1,2),YEAR(A405)-1&amp;"-"&amp;RIGHT(YEAR(A405),2)))</f>
      </c>
    </row>
    <row r="406" spans="1:7" x14ac:dyDescent="0.25">
      <c r="A406" s="10"/>
      <c r="B406" s="11"/>
      <c r="C406" s="11"/>
      <c r="D406" s="11"/>
      <c r="E406" s="12"/>
      <c r="F406" s="11"/>
      <c r="G406" s="14">
        <f>IF(A406="","",IF(A406&gt;=DATE(YEAR(A406),4,6),YEAR(A406)&amp;"-"&amp;RIGHT(YEAR(A406)+1,2),YEAR(A406)-1&amp;"-"&amp;RIGHT(YEAR(A406),2)))</f>
      </c>
    </row>
    <row r="407" spans="1:7" x14ac:dyDescent="0.25">
      <c r="A407" s="10"/>
      <c r="B407" s="11"/>
      <c r="C407" s="11"/>
      <c r="D407" s="11"/>
      <c r="E407" s="12"/>
      <c r="F407" s="11"/>
      <c r="G407" s="14">
        <f>IF(A407="","",IF(A407&gt;=DATE(YEAR(A407),4,6),YEAR(A407)&amp;"-"&amp;RIGHT(YEAR(A407)+1,2),YEAR(A407)-1&amp;"-"&amp;RIGHT(YEAR(A407),2)))</f>
      </c>
    </row>
    <row r="408" spans="1:7" x14ac:dyDescent="0.25">
      <c r="A408" s="10"/>
      <c r="B408" s="11"/>
      <c r="C408" s="11"/>
      <c r="D408" s="11"/>
      <c r="E408" s="12"/>
      <c r="F408" s="11"/>
      <c r="G408" s="14">
        <f>IF(A408="","",IF(A408&gt;=DATE(YEAR(A408),4,6),YEAR(A408)&amp;"-"&amp;RIGHT(YEAR(A408)+1,2),YEAR(A408)-1&amp;"-"&amp;RIGHT(YEAR(A408),2)))</f>
      </c>
    </row>
    <row r="409" spans="1:7" x14ac:dyDescent="0.25">
      <c r="A409" s="10"/>
      <c r="B409" s="11"/>
      <c r="C409" s="11"/>
      <c r="D409" s="11"/>
      <c r="E409" s="12"/>
      <c r="F409" s="11"/>
      <c r="G409" s="14">
        <f>IF(A409="","",IF(A409&gt;=DATE(YEAR(A409),4,6),YEAR(A409)&amp;"-"&amp;RIGHT(YEAR(A409)+1,2),YEAR(A409)-1&amp;"-"&amp;RIGHT(YEAR(A409),2)))</f>
      </c>
    </row>
    <row r="410" spans="1:7" x14ac:dyDescent="0.25">
      <c r="A410" s="10"/>
      <c r="B410" s="11"/>
      <c r="C410" s="11"/>
      <c r="D410" s="11"/>
      <c r="E410" s="12"/>
      <c r="F410" s="11"/>
      <c r="G410" s="14">
        <f>IF(A410="","",IF(A410&gt;=DATE(YEAR(A410),4,6),YEAR(A410)&amp;"-"&amp;RIGHT(YEAR(A410)+1,2),YEAR(A410)-1&amp;"-"&amp;RIGHT(YEAR(A410),2)))</f>
      </c>
    </row>
    <row r="411" spans="1:7" x14ac:dyDescent="0.25">
      <c r="A411" s="10"/>
      <c r="B411" s="11"/>
      <c r="C411" s="11"/>
      <c r="D411" s="11"/>
      <c r="E411" s="12"/>
      <c r="F411" s="11"/>
      <c r="G411" s="14">
        <f>IF(A411="","",IF(A411&gt;=DATE(YEAR(A411),4,6),YEAR(A411)&amp;"-"&amp;RIGHT(YEAR(A411)+1,2),YEAR(A411)-1&amp;"-"&amp;RIGHT(YEAR(A411),2)))</f>
      </c>
    </row>
    <row r="412" spans="1:7" x14ac:dyDescent="0.25">
      <c r="A412" s="10"/>
      <c r="B412" s="11"/>
      <c r="C412" s="11"/>
      <c r="D412" s="11"/>
      <c r="E412" s="12"/>
      <c r="F412" s="11"/>
      <c r="G412" s="14">
        <f>IF(A412="","",IF(A412&gt;=DATE(YEAR(A412),4,6),YEAR(A412)&amp;"-"&amp;RIGHT(YEAR(A412)+1,2),YEAR(A412)-1&amp;"-"&amp;RIGHT(YEAR(A412),2)))</f>
      </c>
    </row>
    <row r="413" spans="1:7" x14ac:dyDescent="0.25">
      <c r="A413" s="10"/>
      <c r="B413" s="11"/>
      <c r="C413" s="11"/>
      <c r="D413" s="11"/>
      <c r="E413" s="12"/>
      <c r="F413" s="11"/>
      <c r="G413" s="14">
        <f>IF(A413="","",IF(A413&gt;=DATE(YEAR(A413),4,6),YEAR(A413)&amp;"-"&amp;RIGHT(YEAR(A413)+1,2),YEAR(A413)-1&amp;"-"&amp;RIGHT(YEAR(A413),2)))</f>
      </c>
    </row>
    <row r="414" spans="1:7" x14ac:dyDescent="0.25">
      <c r="A414" s="10"/>
      <c r="B414" s="11"/>
      <c r="C414" s="11"/>
      <c r="D414" s="11"/>
      <c r="E414" s="12"/>
      <c r="F414" s="11"/>
      <c r="G414" s="14">
        <f>IF(A414="","",IF(A414&gt;=DATE(YEAR(A414),4,6),YEAR(A414)&amp;"-"&amp;RIGHT(YEAR(A414)+1,2),YEAR(A414)-1&amp;"-"&amp;RIGHT(YEAR(A414),2)))</f>
      </c>
    </row>
    <row r="415" spans="1:7" x14ac:dyDescent="0.25">
      <c r="A415" s="10"/>
      <c r="B415" s="11"/>
      <c r="C415" s="11"/>
      <c r="D415" s="11"/>
      <c r="E415" s="12"/>
      <c r="F415" s="11"/>
      <c r="G415" s="14">
        <f>IF(A415="","",IF(A415&gt;=DATE(YEAR(A415),4,6),YEAR(A415)&amp;"-"&amp;RIGHT(YEAR(A415)+1,2),YEAR(A415)-1&amp;"-"&amp;RIGHT(YEAR(A415),2)))</f>
      </c>
    </row>
    <row r="416" spans="1:7" x14ac:dyDescent="0.25">
      <c r="A416" s="10"/>
      <c r="B416" s="11"/>
      <c r="C416" s="11"/>
      <c r="D416" s="11"/>
      <c r="E416" s="12"/>
      <c r="F416" s="11"/>
      <c r="G416" s="14">
        <f>IF(A416="","",IF(A416&gt;=DATE(YEAR(A416),4,6),YEAR(A416)&amp;"-"&amp;RIGHT(YEAR(A416)+1,2),YEAR(A416)-1&amp;"-"&amp;RIGHT(YEAR(A416),2)))</f>
      </c>
    </row>
    <row r="417" spans="1:7" x14ac:dyDescent="0.25">
      <c r="A417" s="10"/>
      <c r="B417" s="11"/>
      <c r="C417" s="11"/>
      <c r="D417" s="11"/>
      <c r="E417" s="12"/>
      <c r="F417" s="11"/>
      <c r="G417" s="14">
        <f>IF(A417="","",IF(A417&gt;=DATE(YEAR(A417),4,6),YEAR(A417)&amp;"-"&amp;RIGHT(YEAR(A417)+1,2),YEAR(A417)-1&amp;"-"&amp;RIGHT(YEAR(A417),2)))</f>
      </c>
    </row>
    <row r="418" spans="1:7" x14ac:dyDescent="0.25">
      <c r="A418" s="10"/>
      <c r="B418" s="11"/>
      <c r="C418" s="11"/>
      <c r="D418" s="11"/>
      <c r="E418" s="12"/>
      <c r="F418" s="11"/>
      <c r="G418" s="14">
        <f>IF(A418="","",IF(A418&gt;=DATE(YEAR(A418),4,6),YEAR(A418)&amp;"-"&amp;RIGHT(YEAR(A418)+1,2),YEAR(A418)-1&amp;"-"&amp;RIGHT(YEAR(A418),2)))</f>
      </c>
    </row>
    <row r="419" spans="1:7" x14ac:dyDescent="0.25">
      <c r="A419" s="10"/>
      <c r="B419" s="11"/>
      <c r="C419" s="11"/>
      <c r="D419" s="11"/>
      <c r="E419" s="12"/>
      <c r="F419" s="11"/>
      <c r="G419" s="14">
        <f>IF(A419="","",IF(A419&gt;=DATE(YEAR(A419),4,6),YEAR(A419)&amp;"-"&amp;RIGHT(YEAR(A419)+1,2),YEAR(A419)-1&amp;"-"&amp;RIGHT(YEAR(A419),2)))</f>
      </c>
    </row>
    <row r="420" spans="1:7" x14ac:dyDescent="0.25">
      <c r="A420" s="10"/>
      <c r="B420" s="11"/>
      <c r="C420" s="11"/>
      <c r="D420" s="11"/>
      <c r="E420" s="12"/>
      <c r="F420" s="11"/>
      <c r="G420" s="14">
        <f>IF(A420="","",IF(A420&gt;=DATE(YEAR(A420),4,6),YEAR(A420)&amp;"-"&amp;RIGHT(YEAR(A420)+1,2),YEAR(A420)-1&amp;"-"&amp;RIGHT(YEAR(A420),2)))</f>
      </c>
    </row>
    <row r="421" spans="1:7" x14ac:dyDescent="0.25">
      <c r="A421" s="10"/>
      <c r="B421" s="11"/>
      <c r="C421" s="11"/>
      <c r="D421" s="11"/>
      <c r="E421" s="12"/>
      <c r="F421" s="11"/>
      <c r="G421" s="14">
        <f>IF(A421="","",IF(A421&gt;=DATE(YEAR(A421),4,6),YEAR(A421)&amp;"-"&amp;RIGHT(YEAR(A421)+1,2),YEAR(A421)-1&amp;"-"&amp;RIGHT(YEAR(A421),2)))</f>
      </c>
    </row>
    <row r="422" spans="1:7" x14ac:dyDescent="0.25">
      <c r="A422" s="10"/>
      <c r="B422" s="11"/>
      <c r="C422" s="11"/>
      <c r="D422" s="11"/>
      <c r="E422" s="12"/>
      <c r="F422" s="11"/>
      <c r="G422" s="14">
        <f>IF(A422="","",IF(A422&gt;=DATE(YEAR(A422),4,6),YEAR(A422)&amp;"-"&amp;RIGHT(YEAR(A422)+1,2),YEAR(A422)-1&amp;"-"&amp;RIGHT(YEAR(A422),2)))</f>
      </c>
    </row>
    <row r="423" spans="1:7" x14ac:dyDescent="0.25">
      <c r="A423" s="10"/>
      <c r="B423" s="11"/>
      <c r="C423" s="11"/>
      <c r="D423" s="11"/>
      <c r="E423" s="12"/>
      <c r="F423" s="11"/>
      <c r="G423" s="14">
        <f>IF(A423="","",IF(A423&gt;=DATE(YEAR(A423),4,6),YEAR(A423)&amp;"-"&amp;RIGHT(YEAR(A423)+1,2),YEAR(A423)-1&amp;"-"&amp;RIGHT(YEAR(A423),2)))</f>
      </c>
    </row>
    <row r="424" spans="1:7" x14ac:dyDescent="0.25">
      <c r="A424" s="10"/>
      <c r="B424" s="11"/>
      <c r="C424" s="11"/>
      <c r="D424" s="11"/>
      <c r="E424" s="12"/>
      <c r="F424" s="11"/>
      <c r="G424" s="14">
        <f>IF(A424="","",IF(A424&gt;=DATE(YEAR(A424),4,6),YEAR(A424)&amp;"-"&amp;RIGHT(YEAR(A424)+1,2),YEAR(A424)-1&amp;"-"&amp;RIGHT(YEAR(A424),2)))</f>
      </c>
    </row>
    <row r="425" spans="1:7" x14ac:dyDescent="0.25">
      <c r="A425" s="10"/>
      <c r="B425" s="11"/>
      <c r="C425" s="11"/>
      <c r="D425" s="11"/>
      <c r="E425" s="12"/>
      <c r="F425" s="11"/>
      <c r="G425" s="14">
        <f>IF(A425="","",IF(A425&gt;=DATE(YEAR(A425),4,6),YEAR(A425)&amp;"-"&amp;RIGHT(YEAR(A425)+1,2),YEAR(A425)-1&amp;"-"&amp;RIGHT(YEAR(A425),2)))</f>
      </c>
    </row>
    <row r="426" spans="1:7" x14ac:dyDescent="0.25">
      <c r="A426" s="10"/>
      <c r="B426" s="11"/>
      <c r="C426" s="11"/>
      <c r="D426" s="11"/>
      <c r="E426" s="12"/>
      <c r="F426" s="11"/>
      <c r="G426" s="14">
        <f>IF(A426="","",IF(A426&gt;=DATE(YEAR(A426),4,6),YEAR(A426)&amp;"-"&amp;RIGHT(YEAR(A426)+1,2),YEAR(A426)-1&amp;"-"&amp;RIGHT(YEAR(A426),2)))</f>
      </c>
    </row>
    <row r="427" spans="1:7" x14ac:dyDescent="0.25">
      <c r="A427" s="10"/>
      <c r="B427" s="11"/>
      <c r="C427" s="11"/>
      <c r="D427" s="11"/>
      <c r="E427" s="12"/>
      <c r="F427" s="11"/>
      <c r="G427" s="14">
        <f>IF(A427="","",IF(A427&gt;=DATE(YEAR(A427),4,6),YEAR(A427)&amp;"-"&amp;RIGHT(YEAR(A427)+1,2),YEAR(A427)-1&amp;"-"&amp;RIGHT(YEAR(A427),2)))</f>
      </c>
    </row>
    <row r="428" spans="1:7" x14ac:dyDescent="0.25">
      <c r="A428" s="10"/>
      <c r="B428" s="11"/>
      <c r="C428" s="11"/>
      <c r="D428" s="11"/>
      <c r="E428" s="12"/>
      <c r="F428" s="11"/>
      <c r="G428" s="14">
        <f>IF(A428="","",IF(A428&gt;=DATE(YEAR(A428),4,6),YEAR(A428)&amp;"-"&amp;RIGHT(YEAR(A428)+1,2),YEAR(A428)-1&amp;"-"&amp;RIGHT(YEAR(A428),2)))</f>
      </c>
    </row>
    <row r="429" spans="1:7" x14ac:dyDescent="0.25">
      <c r="A429" s="10"/>
      <c r="B429" s="11"/>
      <c r="C429" s="11"/>
      <c r="D429" s="11"/>
      <c r="E429" s="12"/>
      <c r="F429" s="11"/>
      <c r="G429" s="14">
        <f>IF(A429="","",IF(A429&gt;=DATE(YEAR(A429),4,6),YEAR(A429)&amp;"-"&amp;RIGHT(YEAR(A429)+1,2),YEAR(A429)-1&amp;"-"&amp;RIGHT(YEAR(A429),2)))</f>
      </c>
    </row>
    <row r="430" spans="1:7" x14ac:dyDescent="0.25">
      <c r="A430" s="10"/>
      <c r="B430" s="11"/>
      <c r="C430" s="11"/>
      <c r="D430" s="11"/>
      <c r="E430" s="12"/>
      <c r="F430" s="11"/>
      <c r="G430" s="14">
        <f>IF(A430="","",IF(A430&gt;=DATE(YEAR(A430),4,6),YEAR(A430)&amp;"-"&amp;RIGHT(YEAR(A430)+1,2),YEAR(A430)-1&amp;"-"&amp;RIGHT(YEAR(A430),2)))</f>
      </c>
    </row>
    <row r="431" spans="1:7" x14ac:dyDescent="0.25">
      <c r="A431" s="10"/>
      <c r="B431" s="11"/>
      <c r="C431" s="11"/>
      <c r="D431" s="11"/>
      <c r="E431" s="12"/>
      <c r="F431" s="11"/>
      <c r="G431" s="14">
        <f>IF(A431="","",IF(A431&gt;=DATE(YEAR(A431),4,6),YEAR(A431)&amp;"-"&amp;RIGHT(YEAR(A431)+1,2),YEAR(A431)-1&amp;"-"&amp;RIGHT(YEAR(A431),2)))</f>
      </c>
    </row>
    <row r="432" spans="1:7" x14ac:dyDescent="0.25">
      <c r="A432" s="10"/>
      <c r="B432" s="11"/>
      <c r="C432" s="11"/>
      <c r="D432" s="11"/>
      <c r="E432" s="12"/>
      <c r="F432" s="11"/>
      <c r="G432" s="14">
        <f>IF(A432="","",IF(A432&gt;=DATE(YEAR(A432),4,6),YEAR(A432)&amp;"-"&amp;RIGHT(YEAR(A432)+1,2),YEAR(A432)-1&amp;"-"&amp;RIGHT(YEAR(A432),2)))</f>
      </c>
    </row>
    <row r="433" spans="1:7" x14ac:dyDescent="0.25">
      <c r="A433" s="10"/>
      <c r="B433" s="11"/>
      <c r="C433" s="11"/>
      <c r="D433" s="11"/>
      <c r="E433" s="12"/>
      <c r="F433" s="11"/>
      <c r="G433" s="14">
        <f>IF(A433="","",IF(A433&gt;=DATE(YEAR(A433),4,6),YEAR(A433)&amp;"-"&amp;RIGHT(YEAR(A433)+1,2),YEAR(A433)-1&amp;"-"&amp;RIGHT(YEAR(A433),2)))</f>
      </c>
    </row>
    <row r="434" spans="1:7" x14ac:dyDescent="0.25">
      <c r="A434" s="10"/>
      <c r="B434" s="11"/>
      <c r="C434" s="11"/>
      <c r="D434" s="11"/>
      <c r="E434" s="12"/>
      <c r="F434" s="11"/>
      <c r="G434" s="14">
        <f>IF(A434="","",IF(A434&gt;=DATE(YEAR(A434),4,6),YEAR(A434)&amp;"-"&amp;RIGHT(YEAR(A434)+1,2),YEAR(A434)-1&amp;"-"&amp;RIGHT(YEAR(A434),2)))</f>
      </c>
    </row>
    <row r="435" spans="1:7" x14ac:dyDescent="0.25">
      <c r="A435" s="10"/>
      <c r="B435" s="11"/>
      <c r="C435" s="11"/>
      <c r="D435" s="11"/>
      <c r="E435" s="12"/>
      <c r="F435" s="11"/>
      <c r="G435" s="14">
        <f>IF(A435="","",IF(A435&gt;=DATE(YEAR(A435),4,6),YEAR(A435)&amp;"-"&amp;RIGHT(YEAR(A435)+1,2),YEAR(A435)-1&amp;"-"&amp;RIGHT(YEAR(A435),2)))</f>
      </c>
    </row>
    <row r="436" spans="1:7" x14ac:dyDescent="0.25">
      <c r="A436" s="10"/>
      <c r="B436" s="11"/>
      <c r="C436" s="11"/>
      <c r="D436" s="11"/>
      <c r="E436" s="12"/>
      <c r="F436" s="11"/>
      <c r="G436" s="14">
        <f>IF(A436="","",IF(A436&gt;=DATE(YEAR(A436),4,6),YEAR(A436)&amp;"-"&amp;RIGHT(YEAR(A436)+1,2),YEAR(A436)-1&amp;"-"&amp;RIGHT(YEAR(A436),2)))</f>
      </c>
    </row>
    <row r="437" spans="1:7" x14ac:dyDescent="0.25">
      <c r="A437" s="10"/>
      <c r="B437" s="11"/>
      <c r="C437" s="11"/>
      <c r="D437" s="11"/>
      <c r="E437" s="12"/>
      <c r="F437" s="11"/>
      <c r="G437" s="14">
        <f>IF(A437="","",IF(A437&gt;=DATE(YEAR(A437),4,6),YEAR(A437)&amp;"-"&amp;RIGHT(YEAR(A437)+1,2),YEAR(A437)-1&amp;"-"&amp;RIGHT(YEAR(A437),2)))</f>
      </c>
    </row>
    <row r="438" spans="1:7" x14ac:dyDescent="0.25">
      <c r="A438" s="10"/>
      <c r="B438" s="11"/>
      <c r="C438" s="11"/>
      <c r="D438" s="11"/>
      <c r="E438" s="12"/>
      <c r="F438" s="11"/>
      <c r="G438" s="14">
        <f>IF(A438="","",IF(A438&gt;=DATE(YEAR(A438),4,6),YEAR(A438)&amp;"-"&amp;RIGHT(YEAR(A438)+1,2),YEAR(A438)-1&amp;"-"&amp;RIGHT(YEAR(A438),2)))</f>
      </c>
    </row>
    <row r="439" spans="1:7" x14ac:dyDescent="0.25">
      <c r="A439" s="10"/>
      <c r="B439" s="11"/>
      <c r="C439" s="11"/>
      <c r="D439" s="11"/>
      <c r="E439" s="12"/>
      <c r="F439" s="11"/>
      <c r="G439" s="14">
        <f>IF(A439="","",IF(A439&gt;=DATE(YEAR(A439),4,6),YEAR(A439)&amp;"-"&amp;RIGHT(YEAR(A439)+1,2),YEAR(A439)-1&amp;"-"&amp;RIGHT(YEAR(A439),2)))</f>
      </c>
    </row>
    <row r="440" spans="1:7" x14ac:dyDescent="0.25">
      <c r="A440" s="10"/>
      <c r="B440" s="11"/>
      <c r="C440" s="11"/>
      <c r="D440" s="11"/>
      <c r="E440" s="12"/>
      <c r="F440" s="11"/>
      <c r="G440" s="14">
        <f>IF(A440="","",IF(A440&gt;=DATE(YEAR(A440),4,6),YEAR(A440)&amp;"-"&amp;RIGHT(YEAR(A440)+1,2),YEAR(A440)-1&amp;"-"&amp;RIGHT(YEAR(A440),2)))</f>
      </c>
    </row>
    <row r="441" spans="1:7" x14ac:dyDescent="0.25">
      <c r="A441" s="10"/>
      <c r="B441" s="11"/>
      <c r="C441" s="11"/>
      <c r="D441" s="11"/>
      <c r="E441" s="12"/>
      <c r="F441" s="11"/>
      <c r="G441" s="14">
        <f>IF(A441="","",IF(A441&gt;=DATE(YEAR(A441),4,6),YEAR(A441)&amp;"-"&amp;RIGHT(YEAR(A441)+1,2),YEAR(A441)-1&amp;"-"&amp;RIGHT(YEAR(A441),2)))</f>
      </c>
    </row>
    <row r="442" spans="1:7" x14ac:dyDescent="0.25">
      <c r="A442" s="10"/>
      <c r="B442" s="11"/>
      <c r="C442" s="11"/>
      <c r="D442" s="11"/>
      <c r="E442" s="12"/>
      <c r="F442" s="11"/>
      <c r="G442" s="14">
        <f>IF(A442="","",IF(A442&gt;=DATE(YEAR(A442),4,6),YEAR(A442)&amp;"-"&amp;RIGHT(YEAR(A442)+1,2),YEAR(A442)-1&amp;"-"&amp;RIGHT(YEAR(A442),2)))</f>
      </c>
    </row>
    <row r="443" spans="1:7" x14ac:dyDescent="0.25">
      <c r="A443" s="10"/>
      <c r="B443" s="11"/>
      <c r="C443" s="11"/>
      <c r="D443" s="11"/>
      <c r="E443" s="12"/>
      <c r="F443" s="11"/>
      <c r="G443" s="14">
        <f>IF(A443="","",IF(A443&gt;=DATE(YEAR(A443),4,6),YEAR(A443)&amp;"-"&amp;RIGHT(YEAR(A443)+1,2),YEAR(A443)-1&amp;"-"&amp;RIGHT(YEAR(A443),2)))</f>
      </c>
    </row>
    <row r="444" spans="1:7" x14ac:dyDescent="0.25">
      <c r="A444" s="10"/>
      <c r="B444" s="11"/>
      <c r="C444" s="11"/>
      <c r="D444" s="11"/>
      <c r="E444" s="12"/>
      <c r="F444" s="11"/>
      <c r="G444" s="14">
        <f>IF(A444="","",IF(A444&gt;=DATE(YEAR(A444),4,6),YEAR(A444)&amp;"-"&amp;RIGHT(YEAR(A444)+1,2),YEAR(A444)-1&amp;"-"&amp;RIGHT(YEAR(A444),2)))</f>
      </c>
    </row>
    <row r="445" spans="1:7" x14ac:dyDescent="0.25">
      <c r="A445" s="10"/>
      <c r="B445" s="11"/>
      <c r="C445" s="11"/>
      <c r="D445" s="11"/>
      <c r="E445" s="12"/>
      <c r="F445" s="11"/>
      <c r="G445" s="14">
        <f>IF(A445="","",IF(A445&gt;=DATE(YEAR(A445),4,6),YEAR(A445)&amp;"-"&amp;RIGHT(YEAR(A445)+1,2),YEAR(A445)-1&amp;"-"&amp;RIGHT(YEAR(A445),2)))</f>
      </c>
    </row>
    <row r="446" spans="1:7" x14ac:dyDescent="0.25">
      <c r="A446" s="10"/>
      <c r="B446" s="11"/>
      <c r="C446" s="11"/>
      <c r="D446" s="11"/>
      <c r="E446" s="12"/>
      <c r="F446" s="11"/>
      <c r="G446" s="14">
        <f>IF(A446="","",IF(A446&gt;=DATE(YEAR(A446),4,6),YEAR(A446)&amp;"-"&amp;RIGHT(YEAR(A446)+1,2),YEAR(A446)-1&amp;"-"&amp;RIGHT(YEAR(A446),2)))</f>
      </c>
    </row>
    <row r="447" spans="1:7" x14ac:dyDescent="0.25">
      <c r="A447" s="10"/>
      <c r="B447" s="11"/>
      <c r="C447" s="11"/>
      <c r="D447" s="11"/>
      <c r="E447" s="12"/>
      <c r="F447" s="11"/>
      <c r="G447" s="14">
        <f>IF(A447="","",IF(A447&gt;=DATE(YEAR(A447),4,6),YEAR(A447)&amp;"-"&amp;RIGHT(YEAR(A447)+1,2),YEAR(A447)-1&amp;"-"&amp;RIGHT(YEAR(A447),2)))</f>
      </c>
    </row>
    <row r="448" spans="1:7" x14ac:dyDescent="0.25">
      <c r="A448" s="10"/>
      <c r="B448" s="11"/>
      <c r="C448" s="11"/>
      <c r="D448" s="11"/>
      <c r="E448" s="12"/>
      <c r="F448" s="11"/>
      <c r="G448" s="14">
        <f>IF(A448="","",IF(A448&gt;=DATE(YEAR(A448),4,6),YEAR(A448)&amp;"-"&amp;RIGHT(YEAR(A448)+1,2),YEAR(A448)-1&amp;"-"&amp;RIGHT(YEAR(A448),2)))</f>
      </c>
    </row>
    <row r="449" spans="1:7" x14ac:dyDescent="0.25">
      <c r="A449" s="10"/>
      <c r="B449" s="11"/>
      <c r="C449" s="11"/>
      <c r="D449" s="11"/>
      <c r="E449" s="12"/>
      <c r="F449" s="11"/>
      <c r="G449" s="14">
        <f>IF(A449="","",IF(A449&gt;=DATE(YEAR(A449),4,6),YEAR(A449)&amp;"-"&amp;RIGHT(YEAR(A449)+1,2),YEAR(A449)-1&amp;"-"&amp;RIGHT(YEAR(A449),2)))</f>
      </c>
    </row>
    <row r="450" spans="1:7" x14ac:dyDescent="0.25">
      <c r="A450" s="10"/>
      <c r="B450" s="11"/>
      <c r="C450" s="11"/>
      <c r="D450" s="11"/>
      <c r="E450" s="12"/>
      <c r="F450" s="11"/>
      <c r="G450" s="14">
        <f>IF(A450="","",IF(A450&gt;=DATE(YEAR(A450),4,6),YEAR(A450)&amp;"-"&amp;RIGHT(YEAR(A450)+1,2),YEAR(A450)-1&amp;"-"&amp;RIGHT(YEAR(A450),2)))</f>
      </c>
    </row>
    <row r="451" spans="1:7" x14ac:dyDescent="0.25">
      <c r="A451" s="10"/>
      <c r="B451" s="11"/>
      <c r="C451" s="11"/>
      <c r="D451" s="11"/>
      <c r="E451" s="12"/>
      <c r="F451" s="11"/>
      <c r="G451" s="14">
        <f>IF(A451="","",IF(A451&gt;=DATE(YEAR(A451),4,6),YEAR(A451)&amp;"-"&amp;RIGHT(YEAR(A451)+1,2),YEAR(A451)-1&amp;"-"&amp;RIGHT(YEAR(A451),2)))</f>
      </c>
    </row>
    <row r="452" spans="1:7" x14ac:dyDescent="0.25">
      <c r="A452" s="10"/>
      <c r="B452" s="11"/>
      <c r="C452" s="11"/>
      <c r="D452" s="11"/>
      <c r="E452" s="12"/>
      <c r="F452" s="11"/>
      <c r="G452" s="14">
        <f>IF(A452="","",IF(A452&gt;=DATE(YEAR(A452),4,6),YEAR(A452)&amp;"-"&amp;RIGHT(YEAR(A452)+1,2),YEAR(A452)-1&amp;"-"&amp;RIGHT(YEAR(A452),2)))</f>
      </c>
    </row>
    <row r="453" spans="1:7" x14ac:dyDescent="0.25">
      <c r="A453" s="10"/>
      <c r="B453" s="11"/>
      <c r="C453" s="11"/>
      <c r="D453" s="11"/>
      <c r="E453" s="12"/>
      <c r="F453" s="11"/>
      <c r="G453" s="14">
        <f>IF(A453="","",IF(A453&gt;=DATE(YEAR(A453),4,6),YEAR(A453)&amp;"-"&amp;RIGHT(YEAR(A453)+1,2),YEAR(A453)-1&amp;"-"&amp;RIGHT(YEAR(A453),2)))</f>
      </c>
    </row>
    <row r="454" spans="1:7" x14ac:dyDescent="0.25">
      <c r="A454" s="10"/>
      <c r="B454" s="11"/>
      <c r="C454" s="11"/>
      <c r="D454" s="11"/>
      <c r="E454" s="12"/>
      <c r="F454" s="11"/>
      <c r="G454" s="14">
        <f>IF(A454="","",IF(A454&gt;=DATE(YEAR(A454),4,6),YEAR(A454)&amp;"-"&amp;RIGHT(YEAR(A454)+1,2),YEAR(A454)-1&amp;"-"&amp;RIGHT(YEAR(A454),2)))</f>
      </c>
    </row>
    <row r="455" spans="1:7" x14ac:dyDescent="0.25">
      <c r="A455" s="10"/>
      <c r="B455" s="11"/>
      <c r="C455" s="11"/>
      <c r="D455" s="11"/>
      <c r="E455" s="12"/>
      <c r="F455" s="11"/>
      <c r="G455" s="14">
        <f>IF(A455="","",IF(A455&gt;=DATE(YEAR(A455),4,6),YEAR(A455)&amp;"-"&amp;RIGHT(YEAR(A455)+1,2),YEAR(A455)-1&amp;"-"&amp;RIGHT(YEAR(A455),2)))</f>
      </c>
    </row>
    <row r="456" spans="1:7" x14ac:dyDescent="0.25">
      <c r="A456" s="10"/>
      <c r="B456" s="11"/>
      <c r="C456" s="11"/>
      <c r="D456" s="11"/>
      <c r="E456" s="12"/>
      <c r="F456" s="11"/>
      <c r="G456" s="14">
        <f>IF(A456="","",IF(A456&gt;=DATE(YEAR(A456),4,6),YEAR(A456)&amp;"-"&amp;RIGHT(YEAR(A456)+1,2),YEAR(A456)-1&amp;"-"&amp;RIGHT(YEAR(A456),2)))</f>
      </c>
    </row>
    <row r="457" spans="1:7" x14ac:dyDescent="0.25">
      <c r="A457" s="10"/>
      <c r="B457" s="11"/>
      <c r="C457" s="11"/>
      <c r="D457" s="11"/>
      <c r="E457" s="12"/>
      <c r="F457" s="11"/>
      <c r="G457" s="14">
        <f>IF(A457="","",IF(A457&gt;=DATE(YEAR(A457),4,6),YEAR(A457)&amp;"-"&amp;RIGHT(YEAR(A457)+1,2),YEAR(A457)-1&amp;"-"&amp;RIGHT(YEAR(A457),2)))</f>
      </c>
    </row>
    <row r="458" spans="1:7" x14ac:dyDescent="0.25">
      <c r="A458" s="10"/>
      <c r="B458" s="11"/>
      <c r="C458" s="11"/>
      <c r="D458" s="11"/>
      <c r="E458" s="12"/>
      <c r="F458" s="11"/>
      <c r="G458" s="14">
        <f>IF(A458="","",IF(A458&gt;=DATE(YEAR(A458),4,6),YEAR(A458)&amp;"-"&amp;RIGHT(YEAR(A458)+1,2),YEAR(A458)-1&amp;"-"&amp;RIGHT(YEAR(A458),2)))</f>
      </c>
    </row>
    <row r="459" spans="1:7" x14ac:dyDescent="0.25">
      <c r="A459" s="10"/>
      <c r="B459" s="11"/>
      <c r="C459" s="11"/>
      <c r="D459" s="11"/>
      <c r="E459" s="12"/>
      <c r="F459" s="11"/>
      <c r="G459" s="14">
        <f>IF(A459="","",IF(A459&gt;=DATE(YEAR(A459),4,6),YEAR(A459)&amp;"-"&amp;RIGHT(YEAR(A459)+1,2),YEAR(A459)-1&amp;"-"&amp;RIGHT(YEAR(A459),2)))</f>
      </c>
    </row>
    <row r="460" spans="1:7" x14ac:dyDescent="0.25">
      <c r="A460" s="10"/>
      <c r="B460" s="11"/>
      <c r="C460" s="11"/>
      <c r="D460" s="11"/>
      <c r="E460" s="12"/>
      <c r="F460" s="11"/>
      <c r="G460" s="14">
        <f>IF(A460="","",IF(A460&gt;=DATE(YEAR(A460),4,6),YEAR(A460)&amp;"-"&amp;RIGHT(YEAR(A460)+1,2),YEAR(A460)-1&amp;"-"&amp;RIGHT(YEAR(A460),2)))</f>
      </c>
    </row>
    <row r="461" spans="1:7" x14ac:dyDescent="0.25">
      <c r="A461" s="10"/>
      <c r="B461" s="11"/>
      <c r="C461" s="11"/>
      <c r="D461" s="11"/>
      <c r="E461" s="12"/>
      <c r="F461" s="11"/>
      <c r="G461" s="14">
        <f>IF(A461="","",IF(A461&gt;=DATE(YEAR(A461),4,6),YEAR(A461)&amp;"-"&amp;RIGHT(YEAR(A461)+1,2),YEAR(A461)-1&amp;"-"&amp;RIGHT(YEAR(A461),2)))</f>
      </c>
    </row>
    <row r="462" spans="1:7" x14ac:dyDescent="0.25">
      <c r="A462" s="10"/>
      <c r="B462" s="11"/>
      <c r="C462" s="11"/>
      <c r="D462" s="11"/>
      <c r="E462" s="12"/>
      <c r="F462" s="11"/>
      <c r="G462" s="14">
        <f>IF(A462="","",IF(A462&gt;=DATE(YEAR(A462),4,6),YEAR(A462)&amp;"-"&amp;RIGHT(YEAR(A462)+1,2),YEAR(A462)-1&amp;"-"&amp;RIGHT(YEAR(A462),2)))</f>
      </c>
    </row>
    <row r="463" spans="1:7" x14ac:dyDescent="0.25">
      <c r="A463" s="10"/>
      <c r="B463" s="11"/>
      <c r="C463" s="11"/>
      <c r="D463" s="11"/>
      <c r="E463" s="12"/>
      <c r="F463" s="11"/>
      <c r="G463" s="14">
        <f>IF(A463="","",IF(A463&gt;=DATE(YEAR(A463),4,6),YEAR(A463)&amp;"-"&amp;RIGHT(YEAR(A463)+1,2),YEAR(A463)-1&amp;"-"&amp;RIGHT(YEAR(A463),2)))</f>
      </c>
    </row>
    <row r="464" spans="1:7" x14ac:dyDescent="0.25">
      <c r="A464" s="10"/>
      <c r="B464" s="11"/>
      <c r="C464" s="11"/>
      <c r="D464" s="11"/>
      <c r="E464" s="12"/>
      <c r="F464" s="11"/>
      <c r="G464" s="14">
        <f>IF(A464="","",IF(A464&gt;=DATE(YEAR(A464),4,6),YEAR(A464)&amp;"-"&amp;RIGHT(YEAR(A464)+1,2),YEAR(A464)-1&amp;"-"&amp;RIGHT(YEAR(A464),2)))</f>
      </c>
    </row>
    <row r="465" spans="1:7" x14ac:dyDescent="0.25">
      <c r="A465" s="10"/>
      <c r="B465" s="11"/>
      <c r="C465" s="11"/>
      <c r="D465" s="11"/>
      <c r="E465" s="12"/>
      <c r="F465" s="11"/>
      <c r="G465" s="14">
        <f>IF(A465="","",IF(A465&gt;=DATE(YEAR(A465),4,6),YEAR(A465)&amp;"-"&amp;RIGHT(YEAR(A465)+1,2),YEAR(A465)-1&amp;"-"&amp;RIGHT(YEAR(A465),2)))</f>
      </c>
    </row>
    <row r="466" spans="1:7" x14ac:dyDescent="0.25">
      <c r="A466" s="10"/>
      <c r="B466" s="11"/>
      <c r="C466" s="11"/>
      <c r="D466" s="11"/>
      <c r="E466" s="12"/>
      <c r="F466" s="11"/>
      <c r="G466" s="14">
        <f>IF(A466="","",IF(A466&gt;=DATE(YEAR(A466),4,6),YEAR(A466)&amp;"-"&amp;RIGHT(YEAR(A466)+1,2),YEAR(A466)-1&amp;"-"&amp;RIGHT(YEAR(A466),2)))</f>
      </c>
    </row>
    <row r="467" spans="1:7" x14ac:dyDescent="0.25">
      <c r="A467" s="10"/>
      <c r="B467" s="11"/>
      <c r="C467" s="11"/>
      <c r="D467" s="11"/>
      <c r="E467" s="12"/>
      <c r="F467" s="11"/>
      <c r="G467" s="14">
        <f>IF(A467="","",IF(A467&gt;=DATE(YEAR(A467),4,6),YEAR(A467)&amp;"-"&amp;RIGHT(YEAR(A467)+1,2),YEAR(A467)-1&amp;"-"&amp;RIGHT(YEAR(A467),2)))</f>
      </c>
    </row>
    <row r="468" spans="1:7" x14ac:dyDescent="0.25">
      <c r="A468" s="10"/>
      <c r="B468" s="11"/>
      <c r="C468" s="11"/>
      <c r="D468" s="11"/>
      <c r="E468" s="12"/>
      <c r="F468" s="11"/>
      <c r="G468" s="14">
        <f>IF(A468="","",IF(A468&gt;=DATE(YEAR(A468),4,6),YEAR(A468)&amp;"-"&amp;RIGHT(YEAR(A468)+1,2),YEAR(A468)-1&amp;"-"&amp;RIGHT(YEAR(A468),2)))</f>
      </c>
    </row>
    <row r="469" spans="1:7" x14ac:dyDescent="0.25">
      <c r="A469" s="10"/>
      <c r="B469" s="11"/>
      <c r="C469" s="11"/>
      <c r="D469" s="11"/>
      <c r="E469" s="12"/>
      <c r="F469" s="11"/>
      <c r="G469" s="14">
        <f>IF(A469="","",IF(A469&gt;=DATE(YEAR(A469),4,6),YEAR(A469)&amp;"-"&amp;RIGHT(YEAR(A469)+1,2),YEAR(A469)-1&amp;"-"&amp;RIGHT(YEAR(A469),2)))</f>
      </c>
    </row>
    <row r="470" spans="1:7" x14ac:dyDescent="0.25">
      <c r="A470" s="10"/>
      <c r="B470" s="11"/>
      <c r="C470" s="11"/>
      <c r="D470" s="11"/>
      <c r="E470" s="12"/>
      <c r="F470" s="11"/>
      <c r="G470" s="14">
        <f>IF(A470="","",IF(A470&gt;=DATE(YEAR(A470),4,6),YEAR(A470)&amp;"-"&amp;RIGHT(YEAR(A470)+1,2),YEAR(A470)-1&amp;"-"&amp;RIGHT(YEAR(A470),2)))</f>
      </c>
    </row>
    <row r="471" spans="1:7" x14ac:dyDescent="0.25">
      <c r="A471" s="10"/>
      <c r="B471" s="11"/>
      <c r="C471" s="11"/>
      <c r="D471" s="11"/>
      <c r="E471" s="12"/>
      <c r="F471" s="11"/>
      <c r="G471" s="14">
        <f>IF(A471="","",IF(A471&gt;=DATE(YEAR(A471),4,6),YEAR(A471)&amp;"-"&amp;RIGHT(YEAR(A471)+1,2),YEAR(A471)-1&amp;"-"&amp;RIGHT(YEAR(A471),2)))</f>
      </c>
    </row>
    <row r="472" spans="1:7" x14ac:dyDescent="0.25">
      <c r="A472" s="10"/>
      <c r="B472" s="11"/>
      <c r="C472" s="11"/>
      <c r="D472" s="11"/>
      <c r="E472" s="12"/>
      <c r="F472" s="11"/>
      <c r="G472" s="14">
        <f>IF(A472="","",IF(A472&gt;=DATE(YEAR(A472),4,6),YEAR(A472)&amp;"-"&amp;RIGHT(YEAR(A472)+1,2),YEAR(A472)-1&amp;"-"&amp;RIGHT(YEAR(A472),2)))</f>
      </c>
    </row>
    <row r="473" spans="1:7" x14ac:dyDescent="0.25">
      <c r="A473" s="10"/>
      <c r="B473" s="11"/>
      <c r="C473" s="11"/>
      <c r="D473" s="11"/>
      <c r="E473" s="12"/>
      <c r="F473" s="11"/>
      <c r="G473" s="14">
        <f>IF(A473="","",IF(A473&gt;=DATE(YEAR(A473),4,6),YEAR(A473)&amp;"-"&amp;RIGHT(YEAR(A473)+1,2),YEAR(A473)-1&amp;"-"&amp;RIGHT(YEAR(A473),2)))</f>
      </c>
    </row>
    <row r="474" spans="1:7" x14ac:dyDescent="0.25">
      <c r="A474" s="10"/>
      <c r="B474" s="11"/>
      <c r="C474" s="11"/>
      <c r="D474" s="11"/>
      <c r="E474" s="12"/>
      <c r="F474" s="11"/>
      <c r="G474" s="14">
        <f>IF(A474="","",IF(A474&gt;=DATE(YEAR(A474),4,6),YEAR(A474)&amp;"-"&amp;RIGHT(YEAR(A474)+1,2),YEAR(A474)-1&amp;"-"&amp;RIGHT(YEAR(A474),2)))</f>
      </c>
    </row>
    <row r="475" spans="1:7" x14ac:dyDescent="0.25">
      <c r="A475" s="10"/>
      <c r="B475" s="11"/>
      <c r="C475" s="11"/>
      <c r="D475" s="11"/>
      <c r="E475" s="12"/>
      <c r="F475" s="11"/>
      <c r="G475" s="14">
        <f>IF(A475="","",IF(A475&gt;=DATE(YEAR(A475),4,6),YEAR(A475)&amp;"-"&amp;RIGHT(YEAR(A475)+1,2),YEAR(A475)-1&amp;"-"&amp;RIGHT(YEAR(A475),2)))</f>
      </c>
    </row>
    <row r="476" spans="1:7" x14ac:dyDescent="0.25">
      <c r="A476" s="10"/>
      <c r="B476" s="11"/>
      <c r="C476" s="11"/>
      <c r="D476" s="11"/>
      <c r="E476" s="12"/>
      <c r="F476" s="11"/>
      <c r="G476" s="14">
        <f>IF(A476="","",IF(A476&gt;=DATE(YEAR(A476),4,6),YEAR(A476)&amp;"-"&amp;RIGHT(YEAR(A476)+1,2),YEAR(A476)-1&amp;"-"&amp;RIGHT(YEAR(A476),2)))</f>
      </c>
    </row>
    <row r="477" spans="1:7" x14ac:dyDescent="0.25">
      <c r="A477" s="10"/>
      <c r="B477" s="11"/>
      <c r="C477" s="11"/>
      <c r="D477" s="11"/>
      <c r="E477" s="12"/>
      <c r="F477" s="11"/>
      <c r="G477" s="14">
        <f>IF(A477="","",IF(A477&gt;=DATE(YEAR(A477),4,6),YEAR(A477)&amp;"-"&amp;RIGHT(YEAR(A477)+1,2),YEAR(A477)-1&amp;"-"&amp;RIGHT(YEAR(A477),2)))</f>
      </c>
    </row>
    <row r="478" spans="1:7" x14ac:dyDescent="0.25">
      <c r="A478" s="10"/>
      <c r="B478" s="11"/>
      <c r="C478" s="11"/>
      <c r="D478" s="11"/>
      <c r="E478" s="12"/>
      <c r="F478" s="11"/>
      <c r="G478" s="14">
        <f>IF(A478="","",IF(A478&gt;=DATE(YEAR(A478),4,6),YEAR(A478)&amp;"-"&amp;RIGHT(YEAR(A478)+1,2),YEAR(A478)-1&amp;"-"&amp;RIGHT(YEAR(A478),2)))</f>
      </c>
    </row>
    <row r="479" spans="1:7" x14ac:dyDescent="0.25">
      <c r="A479" s="10"/>
      <c r="B479" s="11"/>
      <c r="C479" s="11"/>
      <c r="D479" s="11"/>
      <c r="E479" s="12"/>
      <c r="F479" s="11"/>
      <c r="G479" s="14">
        <f>IF(A479="","",IF(A479&gt;=DATE(YEAR(A479),4,6),YEAR(A479)&amp;"-"&amp;RIGHT(YEAR(A479)+1,2),YEAR(A479)-1&amp;"-"&amp;RIGHT(YEAR(A479),2)))</f>
      </c>
    </row>
    <row r="480" spans="1:7" x14ac:dyDescent="0.25">
      <c r="A480" s="10"/>
      <c r="B480" s="11"/>
      <c r="C480" s="11"/>
      <c r="D480" s="11"/>
      <c r="E480" s="12"/>
      <c r="F480" s="11"/>
      <c r="G480" s="14">
        <f>IF(A480="","",IF(A480&gt;=DATE(YEAR(A480),4,6),YEAR(A480)&amp;"-"&amp;RIGHT(YEAR(A480)+1,2),YEAR(A480)-1&amp;"-"&amp;RIGHT(YEAR(A480),2)))</f>
      </c>
    </row>
    <row r="481" spans="1:7" x14ac:dyDescent="0.25">
      <c r="A481" s="10"/>
      <c r="B481" s="11"/>
      <c r="C481" s="11"/>
      <c r="D481" s="11"/>
      <c r="E481" s="12"/>
      <c r="F481" s="11"/>
      <c r="G481" s="14">
        <f>IF(A481="","",IF(A481&gt;=DATE(YEAR(A481),4,6),YEAR(A481)&amp;"-"&amp;RIGHT(YEAR(A481)+1,2),YEAR(A481)-1&amp;"-"&amp;RIGHT(YEAR(A481),2)))</f>
      </c>
    </row>
    <row r="482" spans="1:7" x14ac:dyDescent="0.25">
      <c r="A482" s="10"/>
      <c r="B482" s="11"/>
      <c r="C482" s="11"/>
      <c r="D482" s="11"/>
      <c r="E482" s="12"/>
      <c r="F482" s="11"/>
      <c r="G482" s="14">
        <f>IF(A482="","",IF(A482&gt;=DATE(YEAR(A482),4,6),YEAR(A482)&amp;"-"&amp;RIGHT(YEAR(A482)+1,2),YEAR(A482)-1&amp;"-"&amp;RIGHT(YEAR(A482),2)))</f>
      </c>
    </row>
    <row r="483" spans="1:7" x14ac:dyDescent="0.25">
      <c r="A483" s="10"/>
      <c r="B483" s="11"/>
      <c r="C483" s="11"/>
      <c r="D483" s="11"/>
      <c r="E483" s="12"/>
      <c r="F483" s="11"/>
      <c r="G483" s="14">
        <f>IF(A483="","",IF(A483&gt;=DATE(YEAR(A483),4,6),YEAR(A483)&amp;"-"&amp;RIGHT(YEAR(A483)+1,2),YEAR(A483)-1&amp;"-"&amp;RIGHT(YEAR(A483),2)))</f>
      </c>
    </row>
    <row r="484" spans="1:7" x14ac:dyDescent="0.25">
      <c r="A484" s="10"/>
      <c r="B484" s="11"/>
      <c r="C484" s="11"/>
      <c r="D484" s="11"/>
      <c r="E484" s="12"/>
      <c r="F484" s="11"/>
      <c r="G484" s="14">
        <f>IF(A484="","",IF(A484&gt;=DATE(YEAR(A484),4,6),YEAR(A484)&amp;"-"&amp;RIGHT(YEAR(A484)+1,2),YEAR(A484)-1&amp;"-"&amp;RIGHT(YEAR(A484),2)))</f>
      </c>
    </row>
    <row r="485" spans="1:7" x14ac:dyDescent="0.25">
      <c r="A485" s="10"/>
      <c r="B485" s="11"/>
      <c r="C485" s="11"/>
      <c r="D485" s="11"/>
      <c r="E485" s="12"/>
      <c r="F485" s="11"/>
      <c r="G485" s="14">
        <f>IF(A485="","",IF(A485&gt;=DATE(YEAR(A485),4,6),YEAR(A485)&amp;"-"&amp;RIGHT(YEAR(A485)+1,2),YEAR(A485)-1&amp;"-"&amp;RIGHT(YEAR(A485),2)))</f>
      </c>
    </row>
    <row r="486" spans="1:7" x14ac:dyDescent="0.25">
      <c r="A486" s="10"/>
      <c r="B486" s="11"/>
      <c r="C486" s="11"/>
      <c r="D486" s="11"/>
      <c r="E486" s="12"/>
      <c r="F486" s="11"/>
      <c r="G486" s="14">
        <f>IF(A486="","",IF(A486&gt;=DATE(YEAR(A486),4,6),YEAR(A486)&amp;"-"&amp;RIGHT(YEAR(A486)+1,2),YEAR(A486)-1&amp;"-"&amp;RIGHT(YEAR(A486),2)))</f>
      </c>
    </row>
    <row r="487" spans="1:7" x14ac:dyDescent="0.25">
      <c r="A487" s="10"/>
      <c r="B487" s="11"/>
      <c r="C487" s="11"/>
      <c r="D487" s="11"/>
      <c r="E487" s="12"/>
      <c r="F487" s="11"/>
      <c r="G487" s="14">
        <f>IF(A487="","",IF(A487&gt;=DATE(YEAR(A487),4,6),YEAR(A487)&amp;"-"&amp;RIGHT(YEAR(A487)+1,2),YEAR(A487)-1&amp;"-"&amp;RIGHT(YEAR(A487),2)))</f>
      </c>
    </row>
    <row r="488" spans="1:7" x14ac:dyDescent="0.25">
      <c r="A488" s="10"/>
      <c r="B488" s="11"/>
      <c r="C488" s="11"/>
      <c r="D488" s="11"/>
      <c r="E488" s="12"/>
      <c r="F488" s="11"/>
      <c r="G488" s="14">
        <f>IF(A488="","",IF(A488&gt;=DATE(YEAR(A488),4,6),YEAR(A488)&amp;"-"&amp;RIGHT(YEAR(A488)+1,2),YEAR(A488)-1&amp;"-"&amp;RIGHT(YEAR(A488),2)))</f>
      </c>
    </row>
    <row r="489" spans="1:7" x14ac:dyDescent="0.25">
      <c r="A489" s="10"/>
      <c r="B489" s="11"/>
      <c r="C489" s="11"/>
      <c r="D489" s="11"/>
      <c r="E489" s="12"/>
      <c r="F489" s="11"/>
      <c r="G489" s="14">
        <f>IF(A489="","",IF(A489&gt;=DATE(YEAR(A489),4,6),YEAR(A489)&amp;"-"&amp;RIGHT(YEAR(A489)+1,2),YEAR(A489)-1&amp;"-"&amp;RIGHT(YEAR(A489),2)))</f>
      </c>
    </row>
    <row r="490" spans="1:7" x14ac:dyDescent="0.25">
      <c r="A490" s="10"/>
      <c r="B490" s="11"/>
      <c r="C490" s="11"/>
      <c r="D490" s="11"/>
      <c r="E490" s="12"/>
      <c r="F490" s="11"/>
      <c r="G490" s="14">
        <f>IF(A490="","",IF(A490&gt;=DATE(YEAR(A490),4,6),YEAR(A490)&amp;"-"&amp;RIGHT(YEAR(A490)+1,2),YEAR(A490)-1&amp;"-"&amp;RIGHT(YEAR(A490),2)))</f>
      </c>
    </row>
    <row r="491" spans="1:7" x14ac:dyDescent="0.25">
      <c r="A491" s="10"/>
      <c r="B491" s="11"/>
      <c r="C491" s="11"/>
      <c r="D491" s="11"/>
      <c r="E491" s="12"/>
      <c r="F491" s="11"/>
      <c r="G491" s="14">
        <f>IF(A491="","",IF(A491&gt;=DATE(YEAR(A491),4,6),YEAR(A491)&amp;"-"&amp;RIGHT(YEAR(A491)+1,2),YEAR(A491)-1&amp;"-"&amp;RIGHT(YEAR(A491),2)))</f>
      </c>
    </row>
    <row r="492" spans="1:7" x14ac:dyDescent="0.25">
      <c r="A492" s="10"/>
      <c r="B492" s="11"/>
      <c r="C492" s="11"/>
      <c r="D492" s="11"/>
      <c r="E492" s="12"/>
      <c r="F492" s="11"/>
      <c r="G492" s="14">
        <f>IF(A492="","",IF(A492&gt;=DATE(YEAR(A492),4,6),YEAR(A492)&amp;"-"&amp;RIGHT(YEAR(A492)+1,2),YEAR(A492)-1&amp;"-"&amp;RIGHT(YEAR(A492),2)))</f>
      </c>
    </row>
    <row r="493" spans="1:7" x14ac:dyDescent="0.25">
      <c r="A493" s="10"/>
      <c r="B493" s="11"/>
      <c r="C493" s="11"/>
      <c r="D493" s="11"/>
      <c r="E493" s="12"/>
      <c r="F493" s="11"/>
      <c r="G493" s="14">
        <f>IF(A493="","",IF(A493&gt;=DATE(YEAR(A493),4,6),YEAR(A493)&amp;"-"&amp;RIGHT(YEAR(A493)+1,2),YEAR(A493)-1&amp;"-"&amp;RIGHT(YEAR(A493),2)))</f>
      </c>
    </row>
    <row r="494" spans="1:7" x14ac:dyDescent="0.25">
      <c r="A494" s="10"/>
      <c r="B494" s="11"/>
      <c r="C494" s="11"/>
      <c r="D494" s="11"/>
      <c r="E494" s="12"/>
      <c r="F494" s="11"/>
      <c r="G494" s="14">
        <f>IF(A494="","",IF(A494&gt;=DATE(YEAR(A494),4,6),YEAR(A494)&amp;"-"&amp;RIGHT(YEAR(A494)+1,2),YEAR(A494)-1&amp;"-"&amp;RIGHT(YEAR(A494),2)))</f>
      </c>
    </row>
    <row r="495" spans="1:7" x14ac:dyDescent="0.25">
      <c r="A495" s="10"/>
      <c r="B495" s="11"/>
      <c r="C495" s="11"/>
      <c r="D495" s="11"/>
      <c r="E495" s="12"/>
      <c r="F495" s="11"/>
      <c r="G495" s="14">
        <f>IF(A495="","",IF(A495&gt;=DATE(YEAR(A495),4,6),YEAR(A495)&amp;"-"&amp;RIGHT(YEAR(A495)+1,2),YEAR(A495)-1&amp;"-"&amp;RIGHT(YEAR(A495),2)))</f>
      </c>
    </row>
    <row r="496" spans="1:7" x14ac:dyDescent="0.25">
      <c r="A496" s="10"/>
      <c r="B496" s="11"/>
      <c r="C496" s="11"/>
      <c r="D496" s="11"/>
      <c r="E496" s="12"/>
      <c r="F496" s="11"/>
      <c r="G496" s="14">
        <f>IF(A496="","",IF(A496&gt;=DATE(YEAR(A496),4,6),YEAR(A496)&amp;"-"&amp;RIGHT(YEAR(A496)+1,2),YEAR(A496)-1&amp;"-"&amp;RIGHT(YEAR(A496),2)))</f>
      </c>
    </row>
    <row r="497" spans="1:7" x14ac:dyDescent="0.25">
      <c r="A497" s="10"/>
      <c r="B497" s="11"/>
      <c r="C497" s="11"/>
      <c r="D497" s="11"/>
      <c r="E497" s="12"/>
      <c r="F497" s="11"/>
      <c r="G497" s="14">
        <f>IF(A497="","",IF(A497&gt;=DATE(YEAR(A497),4,6),YEAR(A497)&amp;"-"&amp;RIGHT(YEAR(A497)+1,2),YEAR(A497)-1&amp;"-"&amp;RIGHT(YEAR(A497),2)))</f>
      </c>
    </row>
    <row r="498" spans="1:7" x14ac:dyDescent="0.25">
      <c r="A498" s="10"/>
      <c r="B498" s="11"/>
      <c r="C498" s="11"/>
      <c r="D498" s="11"/>
      <c r="E498" s="12"/>
      <c r="F498" s="11"/>
      <c r="G498" s="14">
        <f>IF(A498="","",IF(A498&gt;=DATE(YEAR(A498),4,6),YEAR(A498)&amp;"-"&amp;RIGHT(YEAR(A498)+1,2),YEAR(A498)-1&amp;"-"&amp;RIGHT(YEAR(A498),2)))</f>
      </c>
    </row>
    <row r="499" spans="1:7" x14ac:dyDescent="0.25">
      <c r="A499" s="10"/>
      <c r="B499" s="11"/>
      <c r="C499" s="11"/>
      <c r="D499" s="11"/>
      <c r="E499" s="12"/>
      <c r="F499" s="11"/>
      <c r="G499" s="14">
        <f>IF(A499="","",IF(A499&gt;=DATE(YEAR(A499),4,6),YEAR(A499)&amp;"-"&amp;RIGHT(YEAR(A499)+1,2),YEAR(A499)-1&amp;"-"&amp;RIGHT(YEAR(A499),2)))</f>
      </c>
    </row>
    <row r="500" spans="1:7" x14ac:dyDescent="0.25">
      <c r="A500" s="10"/>
      <c r="B500" s="11"/>
      <c r="C500" s="11"/>
      <c r="D500" s="11"/>
      <c r="E500" s="12"/>
      <c r="F500" s="11"/>
      <c r="G500" s="14">
        <f>IF(A500="","",IF(A500&gt;=DATE(YEAR(A500),4,6),YEAR(A500)&amp;"-"&amp;RIGHT(YEAR(A500)+1,2),YEAR(A500)-1&amp;"-"&amp;RIGHT(YEAR(A500),2)))</f>
      </c>
    </row>
    <row r="501" spans="1:7" x14ac:dyDescent="0.25">
      <c r="A501" s="10"/>
      <c r="B501" s="11"/>
      <c r="C501" s="11"/>
      <c r="D501" s="11"/>
      <c r="E501" s="12"/>
      <c r="F501" s="11"/>
      <c r="G501" s="14">
        <f>IF(A501="","",IF(A501&gt;=DATE(YEAR(A501),4,6),YEAR(A501)&amp;"-"&amp;RIGHT(YEAR(A501)+1,2),YEAR(A501)-1&amp;"-"&amp;RIGHT(YEAR(A501),2)))</f>
      </c>
    </row>
  </sheetData>
  <autoFilter ref="A1:G1"/>
  <dataValidations count="6">
    <dataValidation type="date" operator="greaterThan" allowBlank="1" sqref="A10:A501">
      <formula1>36526</formula1>
    </dataValidation>
    <dataValidation type="date" operator="greaterThan" allowBlank="1" sqref="A2:A501">
      <formula1>36526</formula1>
    </dataValidation>
    <dataValidation type="list" allowBlank="1" sqref="D10:D501">
      <formula1>"Packaging,Postage supplies,Stock (unsold),Subscriptions,Mileage,Equipment,Phone and internet,Other"</formula1>
    </dataValidation>
    <dataValidation type="list" allowBlank="1" sqref="D2:D501">
      <formula1>"Packaging,Postage supplies,Stock (unsold),Subscriptions,Mileage,Equipment,Phone and internet,Other"</formula1>
    </dataValidation>
    <dataValidation type="list" allowBlank="1" sqref="F10:F501">
      <formula1>"Yes,No"</formula1>
    </dataValidation>
    <dataValidation type="list" allowBlank="1" sqref="F2:F5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F19"/>
  <sheetFormatPr defaultRowHeight="15" outlineLevelRow="0" outlineLevelCol="0" x14ac:dyDescent="55"/>
  <cols>
    <col min="1" max="1" width="28" customWidth="1"/>
    <col min="2" max="6" width="16" customWidth="1"/>
  </cols>
  <sheetData>
    <row r="1" spans="1:2" x14ac:dyDescent="0.25">
      <c r="A1" s="15" t="s">
        <v>24</v>
      </c>
      <c r="B1" s="11" t="s">
        <v>25</v>
      </c>
    </row>
    <row r="3" spans="1:6" s="16" customFormat="1" x14ac:dyDescent="0.25">
      <c r="A3" s="16" t="s">
        <v>9</v>
      </c>
      <c r="B3" s="16" t="s">
        <v>26</v>
      </c>
      <c r="C3" s="16" t="s">
        <v>27</v>
      </c>
      <c r="D3" s="16" t="s">
        <v>28</v>
      </c>
      <c r="E3" s="16" t="s">
        <v>29</v>
      </c>
      <c r="F3" s="16" t="s">
        <v>16</v>
      </c>
    </row>
    <row r="4" spans="1:6" x14ac:dyDescent="0.25">
      <c r="A4" t="s">
        <v>30</v>
      </c>
      <c r="B4" s="6">
        <f>SUMIFS(Sales!E:E,Sales!B:B,"eBay",Sales!J:J,$B$1)</f>
      </c>
      <c r="C4" s="6">
        <f>SUMIFS(Sales!F:F,Sales!B:B,"eBay",Sales!J:J,$B$1)</f>
      </c>
      <c r="D4" s="6">
        <f>SUMIFS(Sales!G:G,Sales!B:B,"eBay",Sales!J:J,$B$1)</f>
      </c>
      <c r="E4" s="6">
        <f>SUMIFS(Sales!H:H,Sales!B:B,"eBay",Sales!J:J,$B$1)</f>
      </c>
      <c r="F4" s="6">
        <f>B4-C4-D4-E4</f>
      </c>
    </row>
    <row r="5" spans="1:6" x14ac:dyDescent="0.25">
      <c r="A5" t="s">
        <v>31</v>
      </c>
      <c r="B5" s="6">
        <f>SUMIFS(Sales!E:E,Sales!B:B,"Amazon",Sales!J:J,$B$1)</f>
      </c>
      <c r="C5" s="6">
        <f>SUMIFS(Sales!F:F,Sales!B:B,"Amazon",Sales!J:J,$B$1)</f>
      </c>
      <c r="D5" s="6">
        <f>SUMIFS(Sales!G:G,Sales!B:B,"Amazon",Sales!J:J,$B$1)</f>
      </c>
      <c r="E5" s="6">
        <f>SUMIFS(Sales!H:H,Sales!B:B,"Amazon",Sales!J:J,$B$1)</f>
      </c>
      <c r="F5" s="6">
        <f>B5-C5-D5-E5</f>
      </c>
    </row>
    <row r="6" spans="1:6" x14ac:dyDescent="0.25">
      <c r="A6" t="s">
        <v>32</v>
      </c>
      <c r="B6" s="6">
        <f>SUMIFS(Sales!E:E,Sales!B:B,"Vinted",Sales!J:J,$B$1)</f>
      </c>
      <c r="C6" s="6">
        <f>SUMIFS(Sales!F:F,Sales!B:B,"Vinted",Sales!J:J,$B$1)</f>
      </c>
      <c r="D6" s="6">
        <f>SUMIFS(Sales!G:G,Sales!B:B,"Vinted",Sales!J:J,$B$1)</f>
      </c>
      <c r="E6" s="6">
        <f>SUMIFS(Sales!H:H,Sales!B:B,"Vinted",Sales!J:J,$B$1)</f>
      </c>
      <c r="F6" s="6">
        <f>B6-C6-D6-E6</f>
      </c>
    </row>
    <row r="7" spans="1:6" x14ac:dyDescent="0.25">
      <c r="A7" t="s">
        <v>33</v>
      </c>
      <c r="B7" s="6">
        <f>SUMIFS(Sales!E:E,Sales!B:B,"Facebook",Sales!J:J,$B$1)</f>
      </c>
      <c r="C7" s="6">
        <f>SUMIFS(Sales!F:F,Sales!B:B,"Facebook",Sales!J:J,$B$1)</f>
      </c>
      <c r="D7" s="6">
        <f>SUMIFS(Sales!G:G,Sales!B:B,"Facebook",Sales!J:J,$B$1)</f>
      </c>
      <c r="E7" s="6">
        <f>SUMIFS(Sales!H:H,Sales!B:B,"Facebook",Sales!J:J,$B$1)</f>
      </c>
      <c r="F7" s="6">
        <f>B7-C7-D7-E7</f>
      </c>
    </row>
    <row r="8" spans="1:6" x14ac:dyDescent="0.25">
      <c r="A8" t="s">
        <v>34</v>
      </c>
      <c r="B8" s="6">
        <f>SUMIFS(Sales!E:E,Sales!B:B,"Depop",Sales!J:J,$B$1)</f>
      </c>
      <c r="C8" s="6">
        <f>SUMIFS(Sales!F:F,Sales!B:B,"Depop",Sales!J:J,$B$1)</f>
      </c>
      <c r="D8" s="6">
        <f>SUMIFS(Sales!G:G,Sales!B:B,"Depop",Sales!J:J,$B$1)</f>
      </c>
      <c r="E8" s="6">
        <f>SUMIFS(Sales!H:H,Sales!B:B,"Depop",Sales!J:J,$B$1)</f>
      </c>
      <c r="F8" s="6">
        <f>B8-C8-D8-E8</f>
      </c>
    </row>
    <row r="9" spans="1:6" x14ac:dyDescent="0.25">
      <c r="A9" t="s">
        <v>35</v>
      </c>
      <c r="B9" s="6">
        <f>SUMIFS(Sales!E:E,Sales!B:B,"Etsy",Sales!J:J,$B$1)</f>
      </c>
      <c r="C9" s="6">
        <f>SUMIFS(Sales!F:F,Sales!B:B,"Etsy",Sales!J:J,$B$1)</f>
      </c>
      <c r="D9" s="6">
        <f>SUMIFS(Sales!G:G,Sales!B:B,"Etsy",Sales!J:J,$B$1)</f>
      </c>
      <c r="E9" s="6">
        <f>SUMIFS(Sales!H:H,Sales!B:B,"Etsy",Sales!J:J,$B$1)</f>
      </c>
      <c r="F9" s="6">
        <f>B9-C9-D9-E9</f>
      </c>
    </row>
    <row r="10" spans="1:6" x14ac:dyDescent="0.25">
      <c r="A10" t="s">
        <v>36</v>
      </c>
      <c r="B10" s="6">
        <f>SUMIFS(Sales!E:E,Sales!B:B,"Whatnot",Sales!J:J,$B$1)</f>
      </c>
      <c r="C10" s="6">
        <f>SUMIFS(Sales!F:F,Sales!B:B,"Whatnot",Sales!J:J,$B$1)</f>
      </c>
      <c r="D10" s="6">
        <f>SUMIFS(Sales!G:G,Sales!B:B,"Whatnot",Sales!J:J,$B$1)</f>
      </c>
      <c r="E10" s="6">
        <f>SUMIFS(Sales!H:H,Sales!B:B,"Whatnot",Sales!J:J,$B$1)</f>
      </c>
      <c r="F10" s="6">
        <f>B10-C10-D10-E10</f>
      </c>
    </row>
    <row r="11" spans="1:6" x14ac:dyDescent="0.25">
      <c r="A11" t="s">
        <v>37</v>
      </c>
      <c r="B11" s="6">
        <f>SUMIFS(Sales!E:E,Sales!B:B,"TikTok Shop",Sales!J:J,$B$1)</f>
      </c>
      <c r="C11" s="6">
        <f>SUMIFS(Sales!F:F,Sales!B:B,"TikTok Shop",Sales!J:J,$B$1)</f>
      </c>
      <c r="D11" s="6">
        <f>SUMIFS(Sales!G:G,Sales!B:B,"TikTok Shop",Sales!J:J,$B$1)</f>
      </c>
      <c r="E11" s="6">
        <f>SUMIFS(Sales!H:H,Sales!B:B,"TikTok Shop",Sales!J:J,$B$1)</f>
      </c>
      <c r="F11" s="6">
        <f>B11-C11-D11-E11</f>
      </c>
    </row>
    <row r="12" spans="1:6" x14ac:dyDescent="0.25">
      <c r="A12" t="s">
        <v>38</v>
      </c>
      <c r="B12" s="6">
        <f>SUMIFS(Sales!E:E,Sales!B:B,"Own site",Sales!J:J,$B$1)</f>
      </c>
      <c r="C12" s="6">
        <f>SUMIFS(Sales!F:F,Sales!B:B,"Own site",Sales!J:J,$B$1)</f>
      </c>
      <c r="D12" s="6">
        <f>SUMIFS(Sales!G:G,Sales!B:B,"Own site",Sales!J:J,$B$1)</f>
      </c>
      <c r="E12" s="6">
        <f>SUMIFS(Sales!H:H,Sales!B:B,"Own site",Sales!J:J,$B$1)</f>
      </c>
      <c r="F12" s="6">
        <f>B12-C12-D12-E12</f>
      </c>
    </row>
    <row r="13" spans="1:6" x14ac:dyDescent="0.25">
      <c r="A13" t="s">
        <v>39</v>
      </c>
      <c r="B13" s="6">
        <f>SUMIFS(Sales!E:E,Sales!B:B,"Other",Sales!J:J,$B$1)</f>
      </c>
      <c r="C13" s="6">
        <f>SUMIFS(Sales!F:F,Sales!B:B,"Other",Sales!J:J,$B$1)</f>
      </c>
      <c r="D13" s="6">
        <f>SUMIFS(Sales!G:G,Sales!B:B,"Other",Sales!J:J,$B$1)</f>
      </c>
      <c r="E13" s="6">
        <f>SUMIFS(Sales!H:H,Sales!B:B,"Other",Sales!J:J,$B$1)</f>
      </c>
      <c r="F13" s="6">
        <f>B13-C13-D13-E13</f>
      </c>
    </row>
    <row r="14" spans="1:6" s="15" customFormat="1" x14ac:dyDescent="0.25">
      <c r="A14" s="15" t="s">
        <v>40</v>
      </c>
      <c r="B14" s="17">
        <f>SUMIFS(Sales!E:E,Sales!J:J,$B$1)</f>
      </c>
      <c r="C14" s="17">
        <f>SUMIFS(Sales!F:F,Sales!J:J,$B$1)</f>
      </c>
      <c r="D14" s="17">
        <f>SUMIFS(Sales!G:G,Sales!J:J,$B$1)</f>
      </c>
      <c r="E14" s="17">
        <f>SUMIFS(Sales!H:H,Sales!J:J,$B$1)</f>
      </c>
      <c r="F14" s="17">
        <f>B14-C14-D14-E14</f>
      </c>
    </row>
    <row r="16" spans="1:6" x14ac:dyDescent="0.25">
      <c r="A16" t="s">
        <v>41</v>
      </c>
      <c r="F16" s="6">
        <f>-SUMIFS(Expenses!E:E,Expenses!G:G,$B$1)</f>
      </c>
    </row>
    <row r="17" spans="1:6" s="15" customFormat="1" x14ac:dyDescent="0.25">
      <c r="A17" s="15" t="s">
        <v>42</v>
      </c>
      <c r="F17" s="17">
        <f>F14+F16</f>
      </c>
    </row>
    <row r="19" spans="1:6" x14ac:dyDescent="0.25">
      <c r="A19" t="s">
        <v>43</v>
      </c>
      <c r="F19">
        <f>COUNTIFS(Sales!J:J,$B$1)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Sales</vt:lpstr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Sellers Network</dc:creator>
  <dc:title>Reseller bookkeeping</dc:title>
  <dc:subject/>
  <dc:description/>
  <cp:keywords/>
  <cp:category/>
  <cp:lastModifiedBy>Unknown</cp:lastModifiedBy>
  <dcterms:created xsi:type="dcterms:W3CDTF">2026-09-28T00:00:00Z</dcterms:created>
  <dcterms:modified xsi:type="dcterms:W3CDTF">2026-09-28T15:18:33Z</dcterms:modified>
</cp:coreProperties>
</file>