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tock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Your own code. Write it on the bag or box too.</t>
        </r>
      </text>
    </comment>
    <comment ref="C1" authorId="0">
      <text>
        <r>
          <t>Shelf, box or bag number.</t>
        </r>
      </text>
    </comment>
    <comment ref="F1" authorId="0">
      <text>
        <r>
          <t>Which platforms, e.g. eBay, Vinted.</t>
        </r>
      </text>
    </comment>
  </commentList>
</comments>
</file>

<file path=xl/sharedStrings.xml><?xml version="1.0" encoding="utf-8"?>
<sst xmlns="http://schemas.openxmlformats.org/spreadsheetml/2006/main" count="21" uniqueCount="21">
  <si>
    <t>Stock tracker</t>
  </si>
  <si>
    <t>One row per item you own and want to sell. It tells you what has been sitting too long.</t>
  </si>
  <si>
    <t>• Fill in the white columns. Days listed and Action work themselves out.</t>
  </si>
  <si>
    <t>• Action flags anything listed over 30 days as 'Check price' and over 60 days as 'Reprice or move it'. Change the numbers in the formula if your stock moves slower.</t>
  </si>
  <si>
    <t>• When it sells, set Status to Sold and fill in the sold price. Profit then works itself out.</t>
  </si>
  <si>
    <t>What to do with slow stock, step by step: see the 'Stale stock: define it, mark it down, move it or write it off' guide on The Sellers Network.</t>
  </si>
  <si>
    <t>Free from The Sellers Network, a forum for UK resellers. Not tax, legal or financial advice.</t>
  </si>
  <si>
    <t>SKU</t>
  </si>
  <si>
    <t>Item</t>
  </si>
  <si>
    <t>Location</t>
  </si>
  <si>
    <t>Bought on</t>
  </si>
  <si>
    <t>Cost</t>
  </si>
  <si>
    <t>Listed on</t>
  </si>
  <si>
    <t>Date listed</t>
  </si>
  <si>
    <t>Asking price</t>
  </si>
  <si>
    <t>Status</t>
  </si>
  <si>
    <t>Sold price</t>
  </si>
  <si>
    <t>Date sold</t>
  </si>
  <si>
    <t>Days listed</t>
  </si>
  <si>
    <t>Profit (before fees and postage)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</si>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</sst>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£#,##0.00;[Red]-£#,##0.00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64748B"/>
    </font>
    <font>
      <b/>
      <color rgb="FFFFFFFF"/>
    </font>
    <font>
      <color rgb="FF475569"/>
    </font>
  </fonts>
  <fills count="4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 inden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2">
    <dxf>
      <font>
        <b/>
        <color rgb="FFDC2626"/>
      </font>
    </dxf>
    <dxf>
      <font>
        <color rgb="FFD977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3" t="s">
        <v>2</v>
      </c>
    </row>
    <row r="5" spans="1:1" s="2" customFormat="1" x14ac:dyDescent="0.25">
      <c r="A5" s="3" t="s">
        <v>3</v>
      </c>
    </row>
    <row r="6" spans="1:1" s="2" customFormat="1" x14ac:dyDescent="0.25">
      <c r="A6" s="3" t="s">
        <v>4</v>
      </c>
    </row>
    <row r="7" spans="1:1" s="2" customFormat="1" x14ac:dyDescent="0.25">
      <c r="A7" s="2" t="s">
        <v>5</v>
      </c>
    </row>
    <row r="9" spans="1:1" s="4" customFormat="1" x14ac:dyDescent="0.25">
      <c r="A9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12" customWidth="1"/>
    <col min="4" max="4" width="12" style="5" customWidth="1"/>
    <col min="5" max="5" width="10" style="6" customWidth="1"/>
    <col min="6" max="6" width="22" customWidth="1"/>
    <col min="7" max="7" width="12" style="5" customWidth="1"/>
    <col min="8" max="8" width="11" style="6" customWidth="1"/>
    <col min="9" max="9" width="11" customWidth="1"/>
    <col min="10" max="10" width="11" style="6" customWidth="1"/>
    <col min="11" max="11" width="12" style="5" customWidth="1"/>
    <col min="12" max="12" width="10" customWidth="1"/>
    <col min="13" max="13" width="14" style="6" customWidth="1"/>
    <col min="14" max="14" width="18" customWidth="1"/>
  </cols>
  <sheetData>
    <row r="1" ht="30" customHeight="1" spans="1:14" s="7" customFormat="1" x14ac:dyDescent="0.25">
      <c r="A1" s="7" t="s">
        <v>7</v>
      </c>
      <c r="B1" s="7" t="s">
        <v>8</v>
      </c>
      <c r="C1" s="7" t="s">
        <v>9</v>
      </c>
      <c r="D1" s="8" t="s">
        <v>10</v>
      </c>
      <c r="E1" s="9" t="s">
        <v>11</v>
      </c>
      <c r="F1" s="7" t="s">
        <v>12</v>
      </c>
      <c r="G1" s="8" t="s">
        <v>13</v>
      </c>
      <c r="H1" s="9" t="s">
        <v>14</v>
      </c>
      <c r="I1" s="7" t="s">
        <v>15</v>
      </c>
      <c r="J1" s="9" t="s">
        <v>16</v>
      </c>
      <c r="K1" s="8" t="s">
        <v>17</v>
      </c>
      <c r="L1" s="7" t="s">
        <v>18</v>
      </c>
      <c r="M1" s="9" t="s">
        <v>19</v>
      </c>
      <c r="N1" s="7" t="s">
        <v>20</v>
      </c>
    </row>
    <row r="2" spans="1:14" x14ac:dyDescent="0.25">
      <c r="A2" s="10"/>
      <c r="B2" s="10"/>
      <c r="C2" s="10"/>
      <c r="D2" s="11"/>
      <c r="E2" s="12"/>
      <c r="F2" s="10"/>
      <c r="G2" s="11"/>
      <c r="H2" s="12"/>
      <c r="I2" s="10"/>
      <c r="J2" s="12"/>
      <c r="K2" s="11"/>
      <c r="L2" s="13">
        <f>IF(G2="","",IF(I2="Sold",IF(K2="","",K2-G2),TODAY()-G2))</f>
      </c>
      <c r="M2" s="14">
        <f>IF(J2="","",J2-E2)</f>
      </c>
      <c r="N2" s="13">
        <f>IF(OR(G2="",I2&lt;&gt;"Listed"),"",IF(TODAY()-G2&gt;60,"Reprice or move it",IF(TODAY()-G2&gt;30,"Check price","")))</f>
      </c>
    </row>
    <row r="3" spans="1:14" x14ac:dyDescent="0.25">
      <c r="A3" s="10"/>
      <c r="B3" s="10"/>
      <c r="C3" s="10"/>
      <c r="D3" s="11"/>
      <c r="E3" s="12"/>
      <c r="F3" s="10"/>
      <c r="G3" s="11"/>
      <c r="H3" s="12"/>
      <c r="I3" s="10"/>
      <c r="J3" s="12"/>
      <c r="K3" s="11"/>
      <c r="L3" s="13">
        <f>IF(G3="","",IF(I3="Sold",IF(K3="","",K3-G3),TODAY()-G3))</f>
      </c>
      <c r="M3" s="14">
        <f>IF(J3="","",J3-E3)</f>
      </c>
      <c r="N3" s="13">
        <f>IF(OR(G3="",I3&lt;&gt;"Listed"),"",IF(TODAY()-G3&gt;60,"Reprice or move it",IF(TODAY()-G3&gt;30,"Check price","")))</f>
      </c>
    </row>
    <row r="4" spans="1:14" x14ac:dyDescent="0.25">
      <c r="A4" s="10"/>
      <c r="B4" s="10"/>
      <c r="C4" s="10"/>
      <c r="D4" s="11"/>
      <c r="E4" s="12"/>
      <c r="F4" s="10"/>
      <c r="G4" s="11"/>
      <c r="H4" s="12"/>
      <c r="I4" s="10"/>
      <c r="J4" s="12"/>
      <c r="K4" s="11"/>
      <c r="L4" s="13">
        <f>IF(G4="","",IF(I4="Sold",IF(K4="","",K4-G4),TODAY()-G4))</f>
      </c>
      <c r="M4" s="14">
        <f>IF(J4="","",J4-E4)</f>
      </c>
      <c r="N4" s="13">
        <f>IF(OR(G4="",I4&lt;&gt;"Listed"),"",IF(TODAY()-G4&gt;60,"Reprice or move it",IF(TODAY()-G4&gt;30,"Check price","")))</f>
      </c>
    </row>
    <row r="5" spans="1:14" x14ac:dyDescent="0.25">
      <c r="A5" s="10"/>
      <c r="B5" s="10"/>
      <c r="C5" s="10"/>
      <c r="D5" s="11"/>
      <c r="E5" s="12"/>
      <c r="F5" s="10"/>
      <c r="G5" s="11"/>
      <c r="H5" s="12"/>
      <c r="I5" s="10"/>
      <c r="J5" s="12"/>
      <c r="K5" s="11"/>
      <c r="L5" s="13">
        <f>IF(G5="","",IF(I5="Sold",IF(K5="","",K5-G5),TODAY()-G5))</f>
      </c>
      <c r="M5" s="14">
        <f>IF(J5="","",J5-E5)</f>
      </c>
      <c r="N5" s="13">
        <f>IF(OR(G5="",I5&lt;&gt;"Listed"),"",IF(TODAY()-G5&gt;60,"Reprice or move it",IF(TODAY()-G5&gt;30,"Check price","")))</f>
      </c>
    </row>
    <row r="6" spans="1:14" x14ac:dyDescent="0.25">
      <c r="A6" s="10"/>
      <c r="B6" s="10"/>
      <c r="C6" s="10"/>
      <c r="D6" s="11"/>
      <c r="E6" s="12"/>
      <c r="F6" s="10"/>
      <c r="G6" s="11"/>
      <c r="H6" s="12"/>
      <c r="I6" s="10"/>
      <c r="J6" s="12"/>
      <c r="K6" s="11"/>
      <c r="L6" s="13">
        <f>IF(G6="","",IF(I6="Sold",IF(K6="","",K6-G6),TODAY()-G6))</f>
      </c>
      <c r="M6" s="14">
        <f>IF(J6="","",J6-E6)</f>
      </c>
      <c r="N6" s="13">
        <f>IF(OR(G6="",I6&lt;&gt;"Listed"),"",IF(TODAY()-G6&gt;60,"Reprice or move it",IF(TODAY()-G6&gt;30,"Check price","")))</f>
      </c>
    </row>
    <row r="7" spans="1:14" x14ac:dyDescent="0.25">
      <c r="A7" s="10"/>
      <c r="B7" s="10"/>
      <c r="C7" s="10"/>
      <c r="D7" s="11"/>
      <c r="E7" s="12"/>
      <c r="F7" s="10"/>
      <c r="G7" s="11"/>
      <c r="H7" s="12"/>
      <c r="I7" s="10"/>
      <c r="J7" s="12"/>
      <c r="K7" s="11"/>
      <c r="L7" s="13">
        <f>IF(G7="","",IF(I7="Sold",IF(K7="","",K7-G7),TODAY()-G7))</f>
      </c>
      <c r="M7" s="14">
        <f>IF(J7="","",J7-E7)</f>
      </c>
      <c r="N7" s="13">
        <f>IF(OR(G7="",I7&lt;&gt;"Listed"),"",IF(TODAY()-G7&gt;60,"Reprice or move it",IF(TODAY()-G7&gt;30,"Check price","")))</f>
      </c>
    </row>
    <row r="8" spans="1:14" x14ac:dyDescent="0.25">
      <c r="A8" s="10"/>
      <c r="B8" s="10"/>
      <c r="C8" s="10"/>
      <c r="D8" s="11"/>
      <c r="E8" s="12"/>
      <c r="F8" s="10"/>
      <c r="G8" s="11"/>
      <c r="H8" s="12"/>
      <c r="I8" s="10"/>
      <c r="J8" s="12"/>
      <c r="K8" s="11"/>
      <c r="L8" s="13">
        <f>IF(G8="","",IF(I8="Sold",IF(K8="","",K8-G8),TODAY()-G8))</f>
      </c>
      <c r="M8" s="14">
        <f>IF(J8="","",J8-E8)</f>
      </c>
      <c r="N8" s="13">
        <f>IF(OR(G8="",I8&lt;&gt;"Listed"),"",IF(TODAY()-G8&gt;60,"Reprice or move it",IF(TODAY()-G8&gt;30,"Check price","")))</f>
      </c>
    </row>
    <row r="9" spans="1:14" x14ac:dyDescent="0.25">
      <c r="A9" s="10"/>
      <c r="B9" s="10"/>
      <c r="C9" s="10"/>
      <c r="D9" s="11"/>
      <c r="E9" s="12"/>
      <c r="F9" s="10"/>
      <c r="G9" s="11"/>
      <c r="H9" s="12"/>
      <c r="I9" s="10"/>
      <c r="J9" s="12"/>
      <c r="K9" s="11"/>
      <c r="L9" s="13">
        <f>IF(G9="","",IF(I9="Sold",IF(K9="","",K9-G9),TODAY()-G9))</f>
      </c>
      <c r="M9" s="14">
        <f>IF(J9="","",J9-E9)</f>
      </c>
      <c r="N9" s="13">
        <f>IF(OR(G9="",I9&lt;&gt;"Listed"),"",IF(TODAY()-G9&gt;60,"Reprice or move it",IF(TODAY()-G9&gt;30,"Check price","")))</f>
      </c>
    </row>
    <row r="10" spans="1:14" x14ac:dyDescent="0.25">
      <c r="A10" s="10"/>
      <c r="B10" s="10"/>
      <c r="C10" s="10"/>
      <c r="D10" s="11"/>
      <c r="E10" s="12"/>
      <c r="F10" s="10"/>
      <c r="G10" s="11"/>
      <c r="H10" s="12"/>
      <c r="I10" s="10"/>
      <c r="J10" s="12"/>
      <c r="K10" s="11"/>
      <c r="L10" s="13">
        <f>IF(G10="","",IF(I10="Sold",IF(K10="","",K10-G10),TODAY()-G10))</f>
      </c>
      <c r="M10" s="14">
        <f>IF(J10="","",J10-E10)</f>
      </c>
      <c r="N10" s="13">
        <f>IF(OR(G10="",I10&lt;&gt;"Listed"),"",IF(TODAY()-G10&gt;60,"Reprice or move it",IF(TODAY()-G10&gt;30,"Check price","")))</f>
      </c>
    </row>
    <row r="11" spans="1:14" x14ac:dyDescent="0.25">
      <c r="A11" s="10"/>
      <c r="B11" s="10"/>
      <c r="C11" s="10"/>
      <c r="D11" s="11"/>
      <c r="E11" s="12"/>
      <c r="F11" s="10"/>
      <c r="G11" s="11"/>
      <c r="H11" s="12"/>
      <c r="I11" s="10"/>
      <c r="J11" s="12"/>
      <c r="K11" s="11"/>
      <c r="L11" s="13">
        <f>IF(G11="","",IF(I11="Sold",IF(K11="","",K11-G11),TODAY()-G11))</f>
      </c>
      <c r="M11" s="14">
        <f>IF(J11="","",J11-E11)</f>
      </c>
      <c r="N11" s="13">
        <f>IF(OR(G11="",I11&lt;&gt;"Listed"),"",IF(TODAY()-G11&gt;60,"Reprice or move it",IF(TODAY()-G11&gt;30,"Check price","")))</f>
      </c>
    </row>
    <row r="12" spans="1:14" x14ac:dyDescent="0.25">
      <c r="A12" s="10"/>
      <c r="B12" s="10"/>
      <c r="C12" s="10"/>
      <c r="D12" s="11"/>
      <c r="E12" s="12"/>
      <c r="F12" s="10"/>
      <c r="G12" s="11"/>
      <c r="H12" s="12"/>
      <c r="I12" s="10"/>
      <c r="J12" s="12"/>
      <c r="K12" s="11"/>
      <c r="L12" s="13">
        <f>IF(G12="","",IF(I12="Sold",IF(K12="","",K12-G12),TODAY()-G12))</f>
      </c>
      <c r="M12" s="14">
        <f>IF(J12="","",J12-E12)</f>
      </c>
      <c r="N12" s="13">
        <f>IF(OR(G12="",I12&lt;&gt;"Listed"),"",IF(TODAY()-G12&gt;60,"Reprice or move it",IF(TODAY()-G12&gt;30,"Check price","")))</f>
      </c>
    </row>
    <row r="13" spans="1:14" x14ac:dyDescent="0.25">
      <c r="A13" s="10"/>
      <c r="B13" s="10"/>
      <c r="C13" s="10"/>
      <c r="D13" s="11"/>
      <c r="E13" s="12"/>
      <c r="F13" s="10"/>
      <c r="G13" s="11"/>
      <c r="H13" s="12"/>
      <c r="I13" s="10"/>
      <c r="J13" s="12"/>
      <c r="K13" s="11"/>
      <c r="L13" s="13">
        <f>IF(G13="","",IF(I13="Sold",IF(K13="","",K13-G13),TODAY()-G13))</f>
      </c>
      <c r="M13" s="14">
        <f>IF(J13="","",J13-E13)</f>
      </c>
      <c r="N13" s="13">
        <f>IF(OR(G13="",I13&lt;&gt;"Listed"),"",IF(TODAY()-G13&gt;60,"Reprice or move it",IF(TODAY()-G13&gt;30,"Check price","")))</f>
      </c>
    </row>
    <row r="14" spans="1:14" x14ac:dyDescent="0.25">
      <c r="A14" s="10"/>
      <c r="B14" s="10"/>
      <c r="C14" s="10"/>
      <c r="D14" s="11"/>
      <c r="E14" s="12"/>
      <c r="F14" s="10"/>
      <c r="G14" s="11"/>
      <c r="H14" s="12"/>
      <c r="I14" s="10"/>
      <c r="J14" s="12"/>
      <c r="K14" s="11"/>
      <c r="L14" s="13">
        <f>IF(G14="","",IF(I14="Sold",IF(K14="","",K14-G14),TODAY()-G14))</f>
      </c>
      <c r="M14" s="14">
        <f>IF(J14="","",J14-E14)</f>
      </c>
      <c r="N14" s="13">
        <f>IF(OR(G14="",I14&lt;&gt;"Listed"),"",IF(TODAY()-G14&gt;60,"Reprice or move it",IF(TODAY()-G14&gt;30,"Check price","")))</f>
      </c>
    </row>
    <row r="15" spans="1:14" x14ac:dyDescent="0.25">
      <c r="A15" s="10"/>
      <c r="B15" s="10"/>
      <c r="C15" s="10"/>
      <c r="D15" s="11"/>
      <c r="E15" s="12"/>
      <c r="F15" s="10"/>
      <c r="G15" s="11"/>
      <c r="H15" s="12"/>
      <c r="I15" s="10"/>
      <c r="J15" s="12"/>
      <c r="K15" s="11"/>
      <c r="L15" s="13">
        <f>IF(G15="","",IF(I15="Sold",IF(K15="","",K15-G15),TODAY()-G15))</f>
      </c>
      <c r="M15" s="14">
        <f>IF(J15="","",J15-E15)</f>
      </c>
      <c r="N15" s="13">
        <f>IF(OR(G15="",I15&lt;&gt;"Listed"),"",IF(TODAY()-G15&gt;60,"Reprice or move it",IF(TODAY()-G15&gt;30,"Check price","")))</f>
      </c>
    </row>
    <row r="16" spans="1:14" x14ac:dyDescent="0.25">
      <c r="A16" s="10"/>
      <c r="B16" s="10"/>
      <c r="C16" s="10"/>
      <c r="D16" s="11"/>
      <c r="E16" s="12"/>
      <c r="F16" s="10"/>
      <c r="G16" s="11"/>
      <c r="H16" s="12"/>
      <c r="I16" s="10"/>
      <c r="J16" s="12"/>
      <c r="K16" s="11"/>
      <c r="L16" s="13">
        <f>IF(G16="","",IF(I16="Sold",IF(K16="","",K16-G16),TODAY()-G16))</f>
      </c>
      <c r="M16" s="14">
        <f>IF(J16="","",J16-E16)</f>
      </c>
      <c r="N16" s="13">
        <f>IF(OR(G16="",I16&lt;&gt;"Listed"),"",IF(TODAY()-G16&gt;60,"Reprice or move it",IF(TODAY()-G16&gt;30,"Check price","")))</f>
      </c>
    </row>
    <row r="17" spans="1:14" x14ac:dyDescent="0.25">
      <c r="A17" s="10"/>
      <c r="B17" s="10"/>
      <c r="C17" s="10"/>
      <c r="D17" s="11"/>
      <c r="E17" s="12"/>
      <c r="F17" s="10"/>
      <c r="G17" s="11"/>
      <c r="H17" s="12"/>
      <c r="I17" s="10"/>
      <c r="J17" s="12"/>
      <c r="K17" s="11"/>
      <c r="L17" s="13">
        <f>IF(G17="","",IF(I17="Sold",IF(K17="","",K17-G17),TODAY()-G17))</f>
      </c>
      <c r="M17" s="14">
        <f>IF(J17="","",J17-E17)</f>
      </c>
      <c r="N17" s="13">
        <f>IF(OR(G17="",I17&lt;&gt;"Listed"),"",IF(TODAY()-G17&gt;60,"Reprice or move it",IF(TODAY()-G17&gt;30,"Check price","")))</f>
      </c>
    </row>
    <row r="18" spans="1:14" x14ac:dyDescent="0.25">
      <c r="A18" s="10"/>
      <c r="B18" s="10"/>
      <c r="C18" s="10"/>
      <c r="D18" s="11"/>
      <c r="E18" s="12"/>
      <c r="F18" s="10"/>
      <c r="G18" s="11"/>
      <c r="H18" s="12"/>
      <c r="I18" s="10"/>
      <c r="J18" s="12"/>
      <c r="K18" s="11"/>
      <c r="L18" s="13">
        <f>IF(G18="","",IF(I18="Sold",IF(K18="","",K18-G18),TODAY()-G18))</f>
      </c>
      <c r="M18" s="14">
        <f>IF(J18="","",J18-E18)</f>
      </c>
      <c r="N18" s="13">
        <f>IF(OR(G18="",I18&lt;&gt;"Listed"),"",IF(TODAY()-G18&gt;60,"Reprice or move it",IF(TODAY()-G18&gt;30,"Check price","")))</f>
      </c>
    </row>
    <row r="19" spans="1:14" x14ac:dyDescent="0.25">
      <c r="A19" s="10"/>
      <c r="B19" s="10"/>
      <c r="C19" s="10"/>
      <c r="D19" s="11"/>
      <c r="E19" s="12"/>
      <c r="F19" s="10"/>
      <c r="G19" s="11"/>
      <c r="H19" s="12"/>
      <c r="I19" s="10"/>
      <c r="J19" s="12"/>
      <c r="K19" s="11"/>
      <c r="L19" s="13">
        <f>IF(G19="","",IF(I19="Sold",IF(K19="","",K19-G19),TODAY()-G19))</f>
      </c>
      <c r="M19" s="14">
        <f>IF(J19="","",J19-E19)</f>
      </c>
      <c r="N19" s="13">
        <f>IF(OR(G19="",I19&lt;&gt;"Listed"),"",IF(TODAY()-G19&gt;60,"Reprice or move it",IF(TODAY()-G19&gt;30,"Check price","")))</f>
      </c>
    </row>
    <row r="20" spans="1:14" x14ac:dyDescent="0.25">
      <c r="A20" s="10"/>
      <c r="B20" s="10"/>
      <c r="C20" s="10"/>
      <c r="D20" s="11"/>
      <c r="E20" s="12"/>
      <c r="F20" s="10"/>
      <c r="G20" s="11"/>
      <c r="H20" s="12"/>
      <c r="I20" s="10"/>
      <c r="J20" s="12"/>
      <c r="K20" s="11"/>
      <c r="L20" s="13">
        <f>IF(G20="","",IF(I20="Sold",IF(K20="","",K20-G20),TODAY()-G20))</f>
      </c>
      <c r="M20" s="14">
        <f>IF(J20="","",J20-E20)</f>
      </c>
      <c r="N20" s="13">
        <f>IF(OR(G20="",I20&lt;&gt;"Listed"),"",IF(TODAY()-G20&gt;60,"Reprice or move it",IF(TODAY()-G20&gt;30,"Check price","")))</f>
      </c>
    </row>
    <row r="21" spans="1:14" x14ac:dyDescent="0.25">
      <c r="A21" s="10"/>
      <c r="B21" s="10"/>
      <c r="C21" s="10"/>
      <c r="D21" s="11"/>
      <c r="E21" s="12"/>
      <c r="F21" s="10"/>
      <c r="G21" s="11"/>
      <c r="H21" s="12"/>
      <c r="I21" s="10"/>
      <c r="J21" s="12"/>
      <c r="K21" s="11"/>
      <c r="L21" s="13">
        <f>IF(G21="","",IF(I21="Sold",IF(K21="","",K21-G21),TODAY()-G21))</f>
      </c>
      <c r="M21" s="14">
        <f>IF(J21="","",J21-E21)</f>
      </c>
      <c r="N21" s="13">
        <f>IF(OR(G21="",I21&lt;&gt;"Listed"),"",IF(TODAY()-G21&gt;60,"Reprice or move it",IF(TODAY()-G21&gt;30,"Check price","")))</f>
      </c>
    </row>
    <row r="22" spans="1:14" x14ac:dyDescent="0.25">
      <c r="A22" s="10"/>
      <c r="B22" s="10"/>
      <c r="C22" s="10"/>
      <c r="D22" s="11"/>
      <c r="E22" s="12"/>
      <c r="F22" s="10"/>
      <c r="G22" s="11"/>
      <c r="H22" s="12"/>
      <c r="I22" s="10"/>
      <c r="J22" s="12"/>
      <c r="K22" s="11"/>
      <c r="L22" s="13">
        <f>IF(G22="","",IF(I22="Sold",IF(K22="","",K22-G22),TODAY()-G22))</f>
      </c>
      <c r="M22" s="14">
        <f>IF(J22="","",J22-E22)</f>
      </c>
      <c r="N22" s="13">
        <f>IF(OR(G22="",I22&lt;&gt;"Listed"),"",IF(TODAY()-G22&gt;60,"Reprice or move it",IF(TODAY()-G22&gt;30,"Check price","")))</f>
      </c>
    </row>
    <row r="23" spans="1:14" x14ac:dyDescent="0.25">
      <c r="A23" s="10"/>
      <c r="B23" s="10"/>
      <c r="C23" s="10"/>
      <c r="D23" s="11"/>
      <c r="E23" s="12"/>
      <c r="F23" s="10"/>
      <c r="G23" s="11"/>
      <c r="H23" s="12"/>
      <c r="I23" s="10"/>
      <c r="J23" s="12"/>
      <c r="K23" s="11"/>
      <c r="L23" s="13">
        <f>IF(G23="","",IF(I23="Sold",IF(K23="","",K23-G23),TODAY()-G23))</f>
      </c>
      <c r="M23" s="14">
        <f>IF(J23="","",J23-E23)</f>
      </c>
      <c r="N23" s="13">
        <f>IF(OR(G23="",I23&lt;&gt;"Listed"),"",IF(TODAY()-G23&gt;60,"Reprice or move it",IF(TODAY()-G23&gt;30,"Check price","")))</f>
      </c>
    </row>
    <row r="24" spans="1:14" x14ac:dyDescent="0.25">
      <c r="A24" s="10"/>
      <c r="B24" s="10"/>
      <c r="C24" s="10"/>
      <c r="D24" s="11"/>
      <c r="E24" s="12"/>
      <c r="F24" s="10"/>
      <c r="G24" s="11"/>
      <c r="H24" s="12"/>
      <c r="I24" s="10"/>
      <c r="J24" s="12"/>
      <c r="K24" s="11"/>
      <c r="L24" s="13">
        <f>IF(G24="","",IF(I24="Sold",IF(K24="","",K24-G24),TODAY()-G24))</f>
      </c>
      <c r="M24" s="14">
        <f>IF(J24="","",J24-E24)</f>
      </c>
      <c r="N24" s="13">
        <f>IF(OR(G24="",I24&lt;&gt;"Listed"),"",IF(TODAY()-G24&gt;60,"Reprice or move it",IF(TODAY()-G24&gt;30,"Check price","")))</f>
      </c>
    </row>
    <row r="25" spans="1:14" x14ac:dyDescent="0.25">
      <c r="A25" s="10"/>
      <c r="B25" s="10"/>
      <c r="C25" s="10"/>
      <c r="D25" s="11"/>
      <c r="E25" s="12"/>
      <c r="F25" s="10"/>
      <c r="G25" s="11"/>
      <c r="H25" s="12"/>
      <c r="I25" s="10"/>
      <c r="J25" s="12"/>
      <c r="K25" s="11"/>
      <c r="L25" s="13">
        <f>IF(G25="","",IF(I25="Sold",IF(K25="","",K25-G25),TODAY()-G25))</f>
      </c>
      <c r="M25" s="14">
        <f>IF(J25="","",J25-E25)</f>
      </c>
      <c r="N25" s="13">
        <f>IF(OR(G25="",I25&lt;&gt;"Listed"),"",IF(TODAY()-G25&gt;60,"Reprice or move it",IF(TODAY()-G25&gt;30,"Check price","")))</f>
      </c>
    </row>
    <row r="26" spans="1:14" x14ac:dyDescent="0.25">
      <c r="A26" s="10"/>
      <c r="B26" s="10"/>
      <c r="C26" s="10"/>
      <c r="D26" s="11"/>
      <c r="E26" s="12"/>
      <c r="F26" s="10"/>
      <c r="G26" s="11"/>
      <c r="H26" s="12"/>
      <c r="I26" s="10"/>
      <c r="J26" s="12"/>
      <c r="K26" s="11"/>
      <c r="L26" s="13">
        <f>IF(G26="","",IF(I26="Sold",IF(K26="","",K26-G26),TODAY()-G26))</f>
      </c>
      <c r="M26" s="14">
        <f>IF(J26="","",J26-E26)</f>
      </c>
      <c r="N26" s="13">
        <f>IF(OR(G26="",I26&lt;&gt;"Listed"),"",IF(TODAY()-G26&gt;60,"Reprice or move it",IF(TODAY()-G26&gt;30,"Check price","")))</f>
      </c>
    </row>
    <row r="27" spans="1:14" x14ac:dyDescent="0.25">
      <c r="A27" s="10"/>
      <c r="B27" s="10"/>
      <c r="C27" s="10"/>
      <c r="D27" s="11"/>
      <c r="E27" s="12"/>
      <c r="F27" s="10"/>
      <c r="G27" s="11"/>
      <c r="H27" s="12"/>
      <c r="I27" s="10"/>
      <c r="J27" s="12"/>
      <c r="K27" s="11"/>
      <c r="L27" s="13">
        <f>IF(G27="","",IF(I27="Sold",IF(K27="","",K27-G27),TODAY()-G27))</f>
      </c>
      <c r="M27" s="14">
        <f>IF(J27="","",J27-E27)</f>
      </c>
      <c r="N27" s="13">
        <f>IF(OR(G27="",I27&lt;&gt;"Listed"),"",IF(TODAY()-G27&gt;60,"Reprice or move it",IF(TODAY()-G27&gt;30,"Check price","")))</f>
      </c>
    </row>
    <row r="28" spans="1:14" x14ac:dyDescent="0.25">
      <c r="A28" s="10"/>
      <c r="B28" s="10"/>
      <c r="C28" s="10"/>
      <c r="D28" s="11"/>
      <c r="E28" s="12"/>
      <c r="F28" s="10"/>
      <c r="G28" s="11"/>
      <c r="H28" s="12"/>
      <c r="I28" s="10"/>
      <c r="J28" s="12"/>
      <c r="K28" s="11"/>
      <c r="L28" s="13">
        <f>IF(G28="","",IF(I28="Sold",IF(K28="","",K28-G28),TODAY()-G28))</f>
      </c>
      <c r="M28" s="14">
        <f>IF(J28="","",J28-E28)</f>
      </c>
      <c r="N28" s="13">
        <f>IF(OR(G28="",I28&lt;&gt;"Listed"),"",IF(TODAY()-G28&gt;60,"Reprice or move it",IF(TODAY()-G28&gt;30,"Check price","")))</f>
      </c>
    </row>
    <row r="29" spans="1:14" x14ac:dyDescent="0.25">
      <c r="A29" s="10"/>
      <c r="B29" s="10"/>
      <c r="C29" s="10"/>
      <c r="D29" s="11"/>
      <c r="E29" s="12"/>
      <c r="F29" s="10"/>
      <c r="G29" s="11"/>
      <c r="H29" s="12"/>
      <c r="I29" s="10"/>
      <c r="J29" s="12"/>
      <c r="K29" s="11"/>
      <c r="L29" s="13">
        <f>IF(G29="","",IF(I29="Sold",IF(K29="","",K29-G29),TODAY()-G29))</f>
      </c>
      <c r="M29" s="14">
        <f>IF(J29="","",J29-E29)</f>
      </c>
      <c r="N29" s="13">
        <f>IF(OR(G29="",I29&lt;&gt;"Listed"),"",IF(TODAY()-G29&gt;60,"Reprice or move it",IF(TODAY()-G29&gt;30,"Check price","")))</f>
      </c>
    </row>
    <row r="30" spans="1:14" x14ac:dyDescent="0.25">
      <c r="A30" s="10"/>
      <c r="B30" s="10"/>
      <c r="C30" s="10"/>
      <c r="D30" s="11"/>
      <c r="E30" s="12"/>
      <c r="F30" s="10"/>
      <c r="G30" s="11"/>
      <c r="H30" s="12"/>
      <c r="I30" s="10"/>
      <c r="J30" s="12"/>
      <c r="K30" s="11"/>
      <c r="L30" s="13">
        <f>IF(G30="","",IF(I30="Sold",IF(K30="","",K30-G30),TODAY()-G30))</f>
      </c>
      <c r="M30" s="14">
        <f>IF(J30="","",J30-E30)</f>
      </c>
      <c r="N30" s="13">
        <f>IF(OR(G30="",I30&lt;&gt;"Listed"),"",IF(TODAY()-G30&gt;60,"Reprice or move it",IF(TODAY()-G30&gt;30,"Check price","")))</f>
      </c>
    </row>
    <row r="31" spans="1:14" x14ac:dyDescent="0.25">
      <c r="A31" s="10"/>
      <c r="B31" s="10"/>
      <c r="C31" s="10"/>
      <c r="D31" s="11"/>
      <c r="E31" s="12"/>
      <c r="F31" s="10"/>
      <c r="G31" s="11"/>
      <c r="H31" s="12"/>
      <c r="I31" s="10"/>
      <c r="J31" s="12"/>
      <c r="K31" s="11"/>
      <c r="L31" s="13">
        <f>IF(G31="","",IF(I31="Sold",IF(K31="","",K31-G31),TODAY()-G31))</f>
      </c>
      <c r="M31" s="14">
        <f>IF(J31="","",J31-E31)</f>
      </c>
      <c r="N31" s="13">
        <f>IF(OR(G31="",I31&lt;&gt;"Listed"),"",IF(TODAY()-G31&gt;60,"Reprice or move it",IF(TODAY()-G31&gt;30,"Check price","")))</f>
      </c>
    </row>
    <row r="32" spans="1:14" x14ac:dyDescent="0.25">
      <c r="A32" s="10"/>
      <c r="B32" s="10"/>
      <c r="C32" s="10"/>
      <c r="D32" s="11"/>
      <c r="E32" s="12"/>
      <c r="F32" s="10"/>
      <c r="G32" s="11"/>
      <c r="H32" s="12"/>
      <c r="I32" s="10"/>
      <c r="J32" s="12"/>
      <c r="K32" s="11"/>
      <c r="L32" s="13">
        <f>IF(G32="","",IF(I32="Sold",IF(K32="","",K32-G32),TODAY()-G32))</f>
      </c>
      <c r="M32" s="14">
        <f>IF(J32="","",J32-E32)</f>
      </c>
      <c r="N32" s="13">
        <f>IF(OR(G32="",I32&lt;&gt;"Listed"),"",IF(TODAY()-G32&gt;60,"Reprice or move it",IF(TODAY()-G32&gt;30,"Check price","")))</f>
      </c>
    </row>
    <row r="33" spans="1:14" x14ac:dyDescent="0.25">
      <c r="A33" s="10"/>
      <c r="B33" s="10"/>
      <c r="C33" s="10"/>
      <c r="D33" s="11"/>
      <c r="E33" s="12"/>
      <c r="F33" s="10"/>
      <c r="G33" s="11"/>
      <c r="H33" s="12"/>
      <c r="I33" s="10"/>
      <c r="J33" s="12"/>
      <c r="K33" s="11"/>
      <c r="L33" s="13">
        <f>IF(G33="","",IF(I33="Sold",IF(K33="","",K33-G33),TODAY()-G33))</f>
      </c>
      <c r="M33" s="14">
        <f>IF(J33="","",J33-E33)</f>
      </c>
      <c r="N33" s="13">
        <f>IF(OR(G33="",I33&lt;&gt;"Listed"),"",IF(TODAY()-G33&gt;60,"Reprice or move it",IF(TODAY()-G33&gt;30,"Check price","")))</f>
      </c>
    </row>
    <row r="34" spans="1:14" x14ac:dyDescent="0.25">
      <c r="A34" s="10"/>
      <c r="B34" s="10"/>
      <c r="C34" s="10"/>
      <c r="D34" s="11"/>
      <c r="E34" s="12"/>
      <c r="F34" s="10"/>
      <c r="G34" s="11"/>
      <c r="H34" s="12"/>
      <c r="I34" s="10"/>
      <c r="J34" s="12"/>
      <c r="K34" s="11"/>
      <c r="L34" s="13">
        <f>IF(G34="","",IF(I34="Sold",IF(K34="","",K34-G34),TODAY()-G34))</f>
      </c>
      <c r="M34" s="14">
        <f>IF(J34="","",J34-E34)</f>
      </c>
      <c r="N34" s="13">
        <f>IF(OR(G34="",I34&lt;&gt;"Listed"),"",IF(TODAY()-G34&gt;60,"Reprice or move it",IF(TODAY()-G34&gt;30,"Check price","")))</f>
      </c>
    </row>
    <row r="35" spans="1:14" x14ac:dyDescent="0.25">
      <c r="A35" s="10"/>
      <c r="B35" s="10"/>
      <c r="C35" s="10"/>
      <c r="D35" s="11"/>
      <c r="E35" s="12"/>
      <c r="F35" s="10"/>
      <c r="G35" s="11"/>
      <c r="H35" s="12"/>
      <c r="I35" s="10"/>
      <c r="J35" s="12"/>
      <c r="K35" s="11"/>
      <c r="L35" s="13">
        <f>IF(G35="","",IF(I35="Sold",IF(K35="","",K35-G35),TODAY()-G35))</f>
      </c>
      <c r="M35" s="14">
        <f>IF(J35="","",J35-E35)</f>
      </c>
      <c r="N35" s="13">
        <f>IF(OR(G35="",I35&lt;&gt;"Listed"),"",IF(TODAY()-G35&gt;60,"Reprice or move it",IF(TODAY()-G35&gt;30,"Check price","")))</f>
      </c>
    </row>
    <row r="36" spans="1:14" x14ac:dyDescent="0.25">
      <c r="A36" s="10"/>
      <c r="B36" s="10"/>
      <c r="C36" s="10"/>
      <c r="D36" s="11"/>
      <c r="E36" s="12"/>
      <c r="F36" s="10"/>
      <c r="G36" s="11"/>
      <c r="H36" s="12"/>
      <c r="I36" s="10"/>
      <c r="J36" s="12"/>
      <c r="K36" s="11"/>
      <c r="L36" s="13">
        <f>IF(G36="","",IF(I36="Sold",IF(K36="","",K36-G36),TODAY()-G36))</f>
      </c>
      <c r="M36" s="14">
        <f>IF(J36="","",J36-E36)</f>
      </c>
      <c r="N36" s="13">
        <f>IF(OR(G36="",I36&lt;&gt;"Listed"),"",IF(TODAY()-G36&gt;60,"Reprice or move it",IF(TODAY()-G36&gt;30,"Check price","")))</f>
      </c>
    </row>
    <row r="37" spans="1:14" x14ac:dyDescent="0.25">
      <c r="A37" s="10"/>
      <c r="B37" s="10"/>
      <c r="C37" s="10"/>
      <c r="D37" s="11"/>
      <c r="E37" s="12"/>
      <c r="F37" s="10"/>
      <c r="G37" s="11"/>
      <c r="H37" s="12"/>
      <c r="I37" s="10"/>
      <c r="J37" s="12"/>
      <c r="K37" s="11"/>
      <c r="L37" s="13">
        <f>IF(G37="","",IF(I37="Sold",IF(K37="","",K37-G37),TODAY()-G37))</f>
      </c>
      <c r="M37" s="14">
        <f>IF(J37="","",J37-E37)</f>
      </c>
      <c r="N37" s="13">
        <f>IF(OR(G37="",I37&lt;&gt;"Listed"),"",IF(TODAY()-G37&gt;60,"Reprice or move it",IF(TODAY()-G37&gt;30,"Check price","")))</f>
      </c>
    </row>
    <row r="38" spans="1:14" x14ac:dyDescent="0.25">
      <c r="A38" s="10"/>
      <c r="B38" s="10"/>
      <c r="C38" s="10"/>
      <c r="D38" s="11"/>
      <c r="E38" s="12"/>
      <c r="F38" s="10"/>
      <c r="G38" s="11"/>
      <c r="H38" s="12"/>
      <c r="I38" s="10"/>
      <c r="J38" s="12"/>
      <c r="K38" s="11"/>
      <c r="L38" s="13">
        <f>IF(G38="","",IF(I38="Sold",IF(K38="","",K38-G38),TODAY()-G38))</f>
      </c>
      <c r="M38" s="14">
        <f>IF(J38="","",J38-E38)</f>
      </c>
      <c r="N38" s="13">
        <f>IF(OR(G38="",I38&lt;&gt;"Listed"),"",IF(TODAY()-G38&gt;60,"Reprice or move it",IF(TODAY()-G38&gt;30,"Check price","")))</f>
      </c>
    </row>
    <row r="39" spans="1:14" x14ac:dyDescent="0.25">
      <c r="A39" s="10"/>
      <c r="B39" s="10"/>
      <c r="C39" s="10"/>
      <c r="D39" s="11"/>
      <c r="E39" s="12"/>
      <c r="F39" s="10"/>
      <c r="G39" s="11"/>
      <c r="H39" s="12"/>
      <c r="I39" s="10"/>
      <c r="J39" s="12"/>
      <c r="K39" s="11"/>
      <c r="L39" s="13">
        <f>IF(G39="","",IF(I39="Sold",IF(K39="","",K39-G39),TODAY()-G39))</f>
      </c>
      <c r="M39" s="14">
        <f>IF(J39="","",J39-E39)</f>
      </c>
      <c r="N39" s="13">
        <f>IF(OR(G39="",I39&lt;&gt;"Listed"),"",IF(TODAY()-G39&gt;60,"Reprice or move it",IF(TODAY()-G39&gt;30,"Check price","")))</f>
      </c>
    </row>
    <row r="40" spans="1:14" x14ac:dyDescent="0.25">
      <c r="A40" s="10"/>
      <c r="B40" s="10"/>
      <c r="C40" s="10"/>
      <c r="D40" s="11"/>
      <c r="E40" s="12"/>
      <c r="F40" s="10"/>
      <c r="G40" s="11"/>
      <c r="H40" s="12"/>
      <c r="I40" s="10"/>
      <c r="J40" s="12"/>
      <c r="K40" s="11"/>
      <c r="L40" s="13">
        <f>IF(G40="","",IF(I40="Sold",IF(K40="","",K40-G40),TODAY()-G40))</f>
      </c>
      <c r="M40" s="14">
        <f>IF(J40="","",J40-E40)</f>
      </c>
      <c r="N40" s="13">
        <f>IF(OR(G40="",I40&lt;&gt;"Listed"),"",IF(TODAY()-G40&gt;60,"Reprice or move it",IF(TODAY()-G40&gt;30,"Check price","")))</f>
      </c>
    </row>
    <row r="41" spans="1:14" x14ac:dyDescent="0.25">
      <c r="A41" s="10"/>
      <c r="B41" s="10"/>
      <c r="C41" s="10"/>
      <c r="D41" s="11"/>
      <c r="E41" s="12"/>
      <c r="F41" s="10"/>
      <c r="G41" s="11"/>
      <c r="H41" s="12"/>
      <c r="I41" s="10"/>
      <c r="J41" s="12"/>
      <c r="K41" s="11"/>
      <c r="L41" s="13">
        <f>IF(G41="","",IF(I41="Sold",IF(K41="","",K41-G41),TODAY()-G41))</f>
      </c>
      <c r="M41" s="14">
        <f>IF(J41="","",J41-E41)</f>
      </c>
      <c r="N41" s="13">
        <f>IF(OR(G41="",I41&lt;&gt;"Listed"),"",IF(TODAY()-G41&gt;60,"Reprice or move it",IF(TODAY()-G41&gt;30,"Check price","")))</f>
      </c>
    </row>
    <row r="42" spans="1:14" x14ac:dyDescent="0.25">
      <c r="A42" s="10"/>
      <c r="B42" s="10"/>
      <c r="C42" s="10"/>
      <c r="D42" s="11"/>
      <c r="E42" s="12"/>
      <c r="F42" s="10"/>
      <c r="G42" s="11"/>
      <c r="H42" s="12"/>
      <c r="I42" s="10"/>
      <c r="J42" s="12"/>
      <c r="K42" s="11"/>
      <c r="L42" s="13">
        <f>IF(G42="","",IF(I42="Sold",IF(K42="","",K42-G42),TODAY()-G42))</f>
      </c>
      <c r="M42" s="14">
        <f>IF(J42="","",J42-E42)</f>
      </c>
      <c r="N42" s="13">
        <f>IF(OR(G42="",I42&lt;&gt;"Listed"),"",IF(TODAY()-G42&gt;60,"Reprice or move it",IF(TODAY()-G42&gt;30,"Check price","")))</f>
      </c>
    </row>
    <row r="43" spans="1:14" x14ac:dyDescent="0.25">
      <c r="A43" s="10"/>
      <c r="B43" s="10"/>
      <c r="C43" s="10"/>
      <c r="D43" s="11"/>
      <c r="E43" s="12"/>
      <c r="F43" s="10"/>
      <c r="G43" s="11"/>
      <c r="H43" s="12"/>
      <c r="I43" s="10"/>
      <c r="J43" s="12"/>
      <c r="K43" s="11"/>
      <c r="L43" s="13">
        <f>IF(G43="","",IF(I43="Sold",IF(K43="","",K43-G43),TODAY()-G43))</f>
      </c>
      <c r="M43" s="14">
        <f>IF(J43="","",J43-E43)</f>
      </c>
      <c r="N43" s="13">
        <f>IF(OR(G43="",I43&lt;&gt;"Listed"),"",IF(TODAY()-G43&gt;60,"Reprice or move it",IF(TODAY()-G43&gt;30,"Check price","")))</f>
      </c>
    </row>
    <row r="44" spans="1:14" x14ac:dyDescent="0.25">
      <c r="A44" s="10"/>
      <c r="B44" s="10"/>
      <c r="C44" s="10"/>
      <c r="D44" s="11"/>
      <c r="E44" s="12"/>
      <c r="F44" s="10"/>
      <c r="G44" s="11"/>
      <c r="H44" s="12"/>
      <c r="I44" s="10"/>
      <c r="J44" s="12"/>
      <c r="K44" s="11"/>
      <c r="L44" s="13">
        <f>IF(G44="","",IF(I44="Sold",IF(K44="","",K44-G44),TODAY()-G44))</f>
      </c>
      <c r="M44" s="14">
        <f>IF(J44="","",J44-E44)</f>
      </c>
      <c r="N44" s="13">
        <f>IF(OR(G44="",I44&lt;&gt;"Listed"),"",IF(TODAY()-G44&gt;60,"Reprice or move it",IF(TODAY()-G44&gt;30,"Check price","")))</f>
      </c>
    </row>
    <row r="45" spans="1:14" x14ac:dyDescent="0.25">
      <c r="A45" s="10"/>
      <c r="B45" s="10"/>
      <c r="C45" s="10"/>
      <c r="D45" s="11"/>
      <c r="E45" s="12"/>
      <c r="F45" s="10"/>
      <c r="G45" s="11"/>
      <c r="H45" s="12"/>
      <c r="I45" s="10"/>
      <c r="J45" s="12"/>
      <c r="K45" s="11"/>
      <c r="L45" s="13">
        <f>IF(G45="","",IF(I45="Sold",IF(K45="","",K45-G45),TODAY()-G45))</f>
      </c>
      <c r="M45" s="14">
        <f>IF(J45="","",J45-E45)</f>
      </c>
      <c r="N45" s="13">
        <f>IF(OR(G45="",I45&lt;&gt;"Listed"),"",IF(TODAY()-G45&gt;60,"Reprice or move it",IF(TODAY()-G45&gt;30,"Check price","")))</f>
      </c>
    </row>
    <row r="46" spans="1:14" x14ac:dyDescent="0.25">
      <c r="A46" s="10"/>
      <c r="B46" s="10"/>
      <c r="C46" s="10"/>
      <c r="D46" s="11"/>
      <c r="E46" s="12"/>
      <c r="F46" s="10"/>
      <c r="G46" s="11"/>
      <c r="H46" s="12"/>
      <c r="I46" s="10"/>
      <c r="J46" s="12"/>
      <c r="K46" s="11"/>
      <c r="L46" s="13">
        <f>IF(G46="","",IF(I46="Sold",IF(K46="","",K46-G46),TODAY()-G46))</f>
      </c>
      <c r="M46" s="14">
        <f>IF(J46="","",J46-E46)</f>
      </c>
      <c r="N46" s="13">
        <f>IF(OR(G46="",I46&lt;&gt;"Listed"),"",IF(TODAY()-G46&gt;60,"Reprice or move it",IF(TODAY()-G46&gt;30,"Check price","")))</f>
      </c>
    </row>
    <row r="47" spans="1:14" x14ac:dyDescent="0.25">
      <c r="A47" s="10"/>
      <c r="B47" s="10"/>
      <c r="C47" s="10"/>
      <c r="D47" s="11"/>
      <c r="E47" s="12"/>
      <c r="F47" s="10"/>
      <c r="G47" s="11"/>
      <c r="H47" s="12"/>
      <c r="I47" s="10"/>
      <c r="J47" s="12"/>
      <c r="K47" s="11"/>
      <c r="L47" s="13">
        <f>IF(G47="","",IF(I47="Sold",IF(K47="","",K47-G47),TODAY()-G47))</f>
      </c>
      <c r="M47" s="14">
        <f>IF(J47="","",J47-E47)</f>
      </c>
      <c r="N47" s="13">
        <f>IF(OR(G47="",I47&lt;&gt;"Listed"),"",IF(TODAY()-G47&gt;60,"Reprice or move it",IF(TODAY()-G47&gt;30,"Check price","")))</f>
      </c>
    </row>
    <row r="48" spans="1:14" x14ac:dyDescent="0.25">
      <c r="A48" s="10"/>
      <c r="B48" s="10"/>
      <c r="C48" s="10"/>
      <c r="D48" s="11"/>
      <c r="E48" s="12"/>
      <c r="F48" s="10"/>
      <c r="G48" s="11"/>
      <c r="H48" s="12"/>
      <c r="I48" s="10"/>
      <c r="J48" s="12"/>
      <c r="K48" s="11"/>
      <c r="L48" s="13">
        <f>IF(G48="","",IF(I48="Sold",IF(K48="","",K48-G48),TODAY()-G48))</f>
      </c>
      <c r="M48" s="14">
        <f>IF(J48="","",J48-E48)</f>
      </c>
      <c r="N48" s="13">
        <f>IF(OR(G48="",I48&lt;&gt;"Listed"),"",IF(TODAY()-G48&gt;60,"Reprice or move it",IF(TODAY()-G48&gt;30,"Check price","")))</f>
      </c>
    </row>
    <row r="49" spans="1:14" x14ac:dyDescent="0.25">
      <c r="A49" s="10"/>
      <c r="B49" s="10"/>
      <c r="C49" s="10"/>
      <c r="D49" s="11"/>
      <c r="E49" s="12"/>
      <c r="F49" s="10"/>
      <c r="G49" s="11"/>
      <c r="H49" s="12"/>
      <c r="I49" s="10"/>
      <c r="J49" s="12"/>
      <c r="K49" s="11"/>
      <c r="L49" s="13">
        <f>IF(G49="","",IF(I49="Sold",IF(K49="","",K49-G49),TODAY()-G49))</f>
      </c>
      <c r="M49" s="14">
        <f>IF(J49="","",J49-E49)</f>
      </c>
      <c r="N49" s="13">
        <f>IF(OR(G49="",I49&lt;&gt;"Listed"),"",IF(TODAY()-G49&gt;60,"Reprice or move it",IF(TODAY()-G49&gt;30,"Check price","")))</f>
      </c>
    </row>
    <row r="50" spans="1:14" x14ac:dyDescent="0.25">
      <c r="A50" s="10"/>
      <c r="B50" s="10"/>
      <c r="C50" s="10"/>
      <c r="D50" s="11"/>
      <c r="E50" s="12"/>
      <c r="F50" s="10"/>
      <c r="G50" s="11"/>
      <c r="H50" s="12"/>
      <c r="I50" s="10"/>
      <c r="J50" s="12"/>
      <c r="K50" s="11"/>
      <c r="L50" s="13">
        <f>IF(G50="","",IF(I50="Sold",IF(K50="","",K50-G50),TODAY()-G50))</f>
      </c>
      <c r="M50" s="14">
        <f>IF(J50="","",J50-E50)</f>
      </c>
      <c r="N50" s="13">
        <f>IF(OR(G50="",I50&lt;&gt;"Listed"),"",IF(TODAY()-G50&gt;60,"Reprice or move it",IF(TODAY()-G50&gt;30,"Check price","")))</f>
      </c>
    </row>
    <row r="51" spans="1:14" x14ac:dyDescent="0.25">
      <c r="A51" s="10"/>
      <c r="B51" s="10"/>
      <c r="C51" s="10"/>
      <c r="D51" s="11"/>
      <c r="E51" s="12"/>
      <c r="F51" s="10"/>
      <c r="G51" s="11"/>
      <c r="H51" s="12"/>
      <c r="I51" s="10"/>
      <c r="J51" s="12"/>
      <c r="K51" s="11"/>
      <c r="L51" s="13">
        <f>IF(G51="","",IF(I51="Sold",IF(K51="","",K51-G51),TODAY()-G51))</f>
      </c>
      <c r="M51" s="14">
        <f>IF(J51="","",J51-E51)</f>
      </c>
      <c r="N51" s="13">
        <f>IF(OR(G51="",I51&lt;&gt;"Listed"),"",IF(TODAY()-G51&gt;60,"Reprice or move it",IF(TODAY()-G51&gt;30,"Check price","")))</f>
      </c>
    </row>
    <row r="52" spans="1:14" x14ac:dyDescent="0.25">
      <c r="A52" s="10"/>
      <c r="B52" s="10"/>
      <c r="C52" s="10"/>
      <c r="D52" s="11"/>
      <c r="E52" s="12"/>
      <c r="F52" s="10"/>
      <c r="G52" s="11"/>
      <c r="H52" s="12"/>
      <c r="I52" s="10"/>
      <c r="J52" s="12"/>
      <c r="K52" s="11"/>
      <c r="L52" s="13">
        <f>IF(G52="","",IF(I52="Sold",IF(K52="","",K52-G52),TODAY()-G52))</f>
      </c>
      <c r="M52" s="14">
        <f>IF(J52="","",J52-E52)</f>
      </c>
      <c r="N52" s="13">
        <f>IF(OR(G52="",I52&lt;&gt;"Listed"),"",IF(TODAY()-G52&gt;60,"Reprice or move it",IF(TODAY()-G52&gt;30,"Check price","")))</f>
      </c>
    </row>
    <row r="53" spans="1:14" x14ac:dyDescent="0.25">
      <c r="A53" s="10"/>
      <c r="B53" s="10"/>
      <c r="C53" s="10"/>
      <c r="D53" s="11"/>
      <c r="E53" s="12"/>
      <c r="F53" s="10"/>
      <c r="G53" s="11"/>
      <c r="H53" s="12"/>
      <c r="I53" s="10"/>
      <c r="J53" s="12"/>
      <c r="K53" s="11"/>
      <c r="L53" s="13">
        <f>IF(G53="","",IF(I53="Sold",IF(K53="","",K53-G53),TODAY()-G53))</f>
      </c>
      <c r="M53" s="14">
        <f>IF(J53="","",J53-E53)</f>
      </c>
      <c r="N53" s="13">
        <f>IF(OR(G53="",I53&lt;&gt;"Listed"),"",IF(TODAY()-G53&gt;60,"Reprice or move it",IF(TODAY()-G53&gt;30,"Check price","")))</f>
      </c>
    </row>
    <row r="54" spans="1:14" x14ac:dyDescent="0.25">
      <c r="A54" s="10"/>
      <c r="B54" s="10"/>
      <c r="C54" s="10"/>
      <c r="D54" s="11"/>
      <c r="E54" s="12"/>
      <c r="F54" s="10"/>
      <c r="G54" s="11"/>
      <c r="H54" s="12"/>
      <c r="I54" s="10"/>
      <c r="J54" s="12"/>
      <c r="K54" s="11"/>
      <c r="L54" s="13">
        <f>IF(G54="","",IF(I54="Sold",IF(K54="","",K54-G54),TODAY()-G54))</f>
      </c>
      <c r="M54" s="14">
        <f>IF(J54="","",J54-E54)</f>
      </c>
      <c r="N54" s="13">
        <f>IF(OR(G54="",I54&lt;&gt;"Listed"),"",IF(TODAY()-G54&gt;60,"Reprice or move it",IF(TODAY()-G54&gt;30,"Check price","")))</f>
      </c>
    </row>
    <row r="55" spans="1:14" x14ac:dyDescent="0.25">
      <c r="A55" s="10"/>
      <c r="B55" s="10"/>
      <c r="C55" s="10"/>
      <c r="D55" s="11"/>
      <c r="E55" s="12"/>
      <c r="F55" s="10"/>
      <c r="G55" s="11"/>
      <c r="H55" s="12"/>
      <c r="I55" s="10"/>
      <c r="J55" s="12"/>
      <c r="K55" s="11"/>
      <c r="L55" s="13">
        <f>IF(G55="","",IF(I55="Sold",IF(K55="","",K55-G55),TODAY()-G55))</f>
      </c>
      <c r="M55" s="14">
        <f>IF(J55="","",J55-E55)</f>
      </c>
      <c r="N55" s="13">
        <f>IF(OR(G55="",I55&lt;&gt;"Listed"),"",IF(TODAY()-G55&gt;60,"Reprice or move it",IF(TODAY()-G55&gt;30,"Check price","")))</f>
      </c>
    </row>
    <row r="56" spans="1:14" x14ac:dyDescent="0.25">
      <c r="A56" s="10"/>
      <c r="B56" s="10"/>
      <c r="C56" s="10"/>
      <c r="D56" s="11"/>
      <c r="E56" s="12"/>
      <c r="F56" s="10"/>
      <c r="G56" s="11"/>
      <c r="H56" s="12"/>
      <c r="I56" s="10"/>
      <c r="J56" s="12"/>
      <c r="K56" s="11"/>
      <c r="L56" s="13">
        <f>IF(G56="","",IF(I56="Sold",IF(K56="","",K56-G56),TODAY()-G56))</f>
      </c>
      <c r="M56" s="14">
        <f>IF(J56="","",J56-E56)</f>
      </c>
      <c r="N56" s="13">
        <f>IF(OR(G56="",I56&lt;&gt;"Listed"),"",IF(TODAY()-G56&gt;60,"Reprice or move it",IF(TODAY()-G56&gt;30,"Check price","")))</f>
      </c>
    </row>
    <row r="57" spans="1:14" x14ac:dyDescent="0.25">
      <c r="A57" s="10"/>
      <c r="B57" s="10"/>
      <c r="C57" s="10"/>
      <c r="D57" s="11"/>
      <c r="E57" s="12"/>
      <c r="F57" s="10"/>
      <c r="G57" s="11"/>
      <c r="H57" s="12"/>
      <c r="I57" s="10"/>
      <c r="J57" s="12"/>
      <c r="K57" s="11"/>
      <c r="L57" s="13">
        <f>IF(G57="","",IF(I57="Sold",IF(K57="","",K57-G57),TODAY()-G57))</f>
      </c>
      <c r="M57" s="14">
        <f>IF(J57="","",J57-E57)</f>
      </c>
      <c r="N57" s="13">
        <f>IF(OR(G57="",I57&lt;&gt;"Listed"),"",IF(TODAY()-G57&gt;60,"Reprice or move it",IF(TODAY()-G57&gt;30,"Check price","")))</f>
      </c>
    </row>
    <row r="58" spans="1:14" x14ac:dyDescent="0.25">
      <c r="A58" s="10"/>
      <c r="B58" s="10"/>
      <c r="C58" s="10"/>
      <c r="D58" s="11"/>
      <c r="E58" s="12"/>
      <c r="F58" s="10"/>
      <c r="G58" s="11"/>
      <c r="H58" s="12"/>
      <c r="I58" s="10"/>
      <c r="J58" s="12"/>
      <c r="K58" s="11"/>
      <c r="L58" s="13">
        <f>IF(G58="","",IF(I58="Sold",IF(K58="","",K58-G58),TODAY()-G58))</f>
      </c>
      <c r="M58" s="14">
        <f>IF(J58="","",J58-E58)</f>
      </c>
      <c r="N58" s="13">
        <f>IF(OR(G58="",I58&lt;&gt;"Listed"),"",IF(TODAY()-G58&gt;60,"Reprice or move it",IF(TODAY()-G58&gt;30,"Check price","")))</f>
      </c>
    </row>
    <row r="59" spans="1:14" x14ac:dyDescent="0.25">
      <c r="A59" s="10"/>
      <c r="B59" s="10"/>
      <c r="C59" s="10"/>
      <c r="D59" s="11"/>
      <c r="E59" s="12"/>
      <c r="F59" s="10"/>
      <c r="G59" s="11"/>
      <c r="H59" s="12"/>
      <c r="I59" s="10"/>
      <c r="J59" s="12"/>
      <c r="K59" s="11"/>
      <c r="L59" s="13">
        <f>IF(G59="","",IF(I59="Sold",IF(K59="","",K59-G59),TODAY()-G59))</f>
      </c>
      <c r="M59" s="14">
        <f>IF(J59="","",J59-E59)</f>
      </c>
      <c r="N59" s="13">
        <f>IF(OR(G59="",I59&lt;&gt;"Listed"),"",IF(TODAY()-G59&gt;60,"Reprice or move it",IF(TODAY()-G59&gt;30,"Check price","")))</f>
      </c>
    </row>
    <row r="60" spans="1:14" x14ac:dyDescent="0.25">
      <c r="A60" s="10"/>
      <c r="B60" s="10"/>
      <c r="C60" s="10"/>
      <c r="D60" s="11"/>
      <c r="E60" s="12"/>
      <c r="F60" s="10"/>
      <c r="G60" s="11"/>
      <c r="H60" s="12"/>
      <c r="I60" s="10"/>
      <c r="J60" s="12"/>
      <c r="K60" s="11"/>
      <c r="L60" s="13">
        <f>IF(G60="","",IF(I60="Sold",IF(K60="","",K60-G60),TODAY()-G60))</f>
      </c>
      <c r="M60" s="14">
        <f>IF(J60="","",J60-E60)</f>
      </c>
      <c r="N60" s="13">
        <f>IF(OR(G60="",I60&lt;&gt;"Listed"),"",IF(TODAY()-G60&gt;60,"Reprice or move it",IF(TODAY()-G60&gt;30,"Check price","")))</f>
      </c>
    </row>
    <row r="61" spans="1:14" x14ac:dyDescent="0.25">
      <c r="A61" s="10"/>
      <c r="B61" s="10"/>
      <c r="C61" s="10"/>
      <c r="D61" s="11"/>
      <c r="E61" s="12"/>
      <c r="F61" s="10"/>
      <c r="G61" s="11"/>
      <c r="H61" s="12"/>
      <c r="I61" s="10"/>
      <c r="J61" s="12"/>
      <c r="K61" s="11"/>
      <c r="L61" s="13">
        <f>IF(G61="","",IF(I61="Sold",IF(K61="","",K61-G61),TODAY()-G61))</f>
      </c>
      <c r="M61" s="14">
        <f>IF(J61="","",J61-E61)</f>
      </c>
      <c r="N61" s="13">
        <f>IF(OR(G61="",I61&lt;&gt;"Listed"),"",IF(TODAY()-G61&gt;60,"Reprice or move it",IF(TODAY()-G61&gt;30,"Check price","")))</f>
      </c>
    </row>
    <row r="62" spans="1:14" x14ac:dyDescent="0.25">
      <c r="A62" s="10"/>
      <c r="B62" s="10"/>
      <c r="C62" s="10"/>
      <c r="D62" s="11"/>
      <c r="E62" s="12"/>
      <c r="F62" s="10"/>
      <c r="G62" s="11"/>
      <c r="H62" s="12"/>
      <c r="I62" s="10"/>
      <c r="J62" s="12"/>
      <c r="K62" s="11"/>
      <c r="L62" s="13">
        <f>IF(G62="","",IF(I62="Sold",IF(K62="","",K62-G62),TODAY()-G62))</f>
      </c>
      <c r="M62" s="14">
        <f>IF(J62="","",J62-E62)</f>
      </c>
      <c r="N62" s="13">
        <f>IF(OR(G62="",I62&lt;&gt;"Listed"),"",IF(TODAY()-G62&gt;60,"Reprice or move it",IF(TODAY()-G62&gt;30,"Check price","")))</f>
      </c>
    </row>
    <row r="63" spans="1:14" x14ac:dyDescent="0.25">
      <c r="A63" s="10"/>
      <c r="B63" s="10"/>
      <c r="C63" s="10"/>
      <c r="D63" s="11"/>
      <c r="E63" s="12"/>
      <c r="F63" s="10"/>
      <c r="G63" s="11"/>
      <c r="H63" s="12"/>
      <c r="I63" s="10"/>
      <c r="J63" s="12"/>
      <c r="K63" s="11"/>
      <c r="L63" s="13">
        <f>IF(G63="","",IF(I63="Sold",IF(K63="","",K63-G63),TODAY()-G63))</f>
      </c>
      <c r="M63" s="14">
        <f>IF(J63="","",J63-E63)</f>
      </c>
      <c r="N63" s="13">
        <f>IF(OR(G63="",I63&lt;&gt;"Listed"),"",IF(TODAY()-G63&gt;60,"Reprice or move it",IF(TODAY()-G63&gt;30,"Check price","")))</f>
      </c>
    </row>
    <row r="64" spans="1:14" x14ac:dyDescent="0.25">
      <c r="A64" s="10"/>
      <c r="B64" s="10"/>
      <c r="C64" s="10"/>
      <c r="D64" s="11"/>
      <c r="E64" s="12"/>
      <c r="F64" s="10"/>
      <c r="G64" s="11"/>
      <c r="H64" s="12"/>
      <c r="I64" s="10"/>
      <c r="J64" s="12"/>
      <c r="K64" s="11"/>
      <c r="L64" s="13">
        <f>IF(G64="","",IF(I64="Sold",IF(K64="","",K64-G64),TODAY()-G64))</f>
      </c>
      <c r="M64" s="14">
        <f>IF(J64="","",J64-E64)</f>
      </c>
      <c r="N64" s="13">
        <f>IF(OR(G64="",I64&lt;&gt;"Listed"),"",IF(TODAY()-G64&gt;60,"Reprice or move it",IF(TODAY()-G64&gt;30,"Check price","")))</f>
      </c>
    </row>
    <row r="65" spans="1:14" x14ac:dyDescent="0.25">
      <c r="A65" s="10"/>
      <c r="B65" s="10"/>
      <c r="C65" s="10"/>
      <c r="D65" s="11"/>
      <c r="E65" s="12"/>
      <c r="F65" s="10"/>
      <c r="G65" s="11"/>
      <c r="H65" s="12"/>
      <c r="I65" s="10"/>
      <c r="J65" s="12"/>
      <c r="K65" s="11"/>
      <c r="L65" s="13">
        <f>IF(G65="","",IF(I65="Sold",IF(K65="","",K65-G65),TODAY()-G65))</f>
      </c>
      <c r="M65" s="14">
        <f>IF(J65="","",J65-E65)</f>
      </c>
      <c r="N65" s="13">
        <f>IF(OR(G65="",I65&lt;&gt;"Listed"),"",IF(TODAY()-G65&gt;60,"Reprice or move it",IF(TODAY()-G65&gt;30,"Check price","")))</f>
      </c>
    </row>
    <row r="66" spans="1:14" x14ac:dyDescent="0.25">
      <c r="A66" s="10"/>
      <c r="B66" s="10"/>
      <c r="C66" s="10"/>
      <c r="D66" s="11"/>
      <c r="E66" s="12"/>
      <c r="F66" s="10"/>
      <c r="G66" s="11"/>
      <c r="H66" s="12"/>
      <c r="I66" s="10"/>
      <c r="J66" s="12"/>
      <c r="K66" s="11"/>
      <c r="L66" s="13">
        <f>IF(G66="","",IF(I66="Sold",IF(K66="","",K66-G66),TODAY()-G66))</f>
      </c>
      <c r="M66" s="14">
        <f>IF(J66="","",J66-E66)</f>
      </c>
      <c r="N66" s="13">
        <f>IF(OR(G66="",I66&lt;&gt;"Listed"),"",IF(TODAY()-G66&gt;60,"Reprice or move it",IF(TODAY()-G66&gt;30,"Check price","")))</f>
      </c>
    </row>
    <row r="67" spans="1:14" x14ac:dyDescent="0.25">
      <c r="A67" s="10"/>
      <c r="B67" s="10"/>
      <c r="C67" s="10"/>
      <c r="D67" s="11"/>
      <c r="E67" s="12"/>
      <c r="F67" s="10"/>
      <c r="G67" s="11"/>
      <c r="H67" s="12"/>
      <c r="I67" s="10"/>
      <c r="J67" s="12"/>
      <c r="K67" s="11"/>
      <c r="L67" s="13">
        <f>IF(G67="","",IF(I67="Sold",IF(K67="","",K67-G67),TODAY()-G67))</f>
      </c>
      <c r="M67" s="14">
        <f>IF(J67="","",J67-E67)</f>
      </c>
      <c r="N67" s="13">
        <f>IF(OR(G67="",I67&lt;&gt;"Listed"),"",IF(TODAY()-G67&gt;60,"Reprice or move it",IF(TODAY()-G67&gt;30,"Check price","")))</f>
      </c>
    </row>
    <row r="68" spans="1:14" x14ac:dyDescent="0.25">
      <c r="A68" s="10"/>
      <c r="B68" s="10"/>
      <c r="C68" s="10"/>
      <c r="D68" s="11"/>
      <c r="E68" s="12"/>
      <c r="F68" s="10"/>
      <c r="G68" s="11"/>
      <c r="H68" s="12"/>
      <c r="I68" s="10"/>
      <c r="J68" s="12"/>
      <c r="K68" s="11"/>
      <c r="L68" s="13">
        <f>IF(G68="","",IF(I68="Sold",IF(K68="","",K68-G68),TODAY()-G68))</f>
      </c>
      <c r="M68" s="14">
        <f>IF(J68="","",J68-E68)</f>
      </c>
      <c r="N68" s="13">
        <f>IF(OR(G68="",I68&lt;&gt;"Listed"),"",IF(TODAY()-G68&gt;60,"Reprice or move it",IF(TODAY()-G68&gt;30,"Check price","")))</f>
      </c>
    </row>
    <row r="69" spans="1:14" x14ac:dyDescent="0.25">
      <c r="A69" s="10"/>
      <c r="B69" s="10"/>
      <c r="C69" s="10"/>
      <c r="D69" s="11"/>
      <c r="E69" s="12"/>
      <c r="F69" s="10"/>
      <c r="G69" s="11"/>
      <c r="H69" s="12"/>
      <c r="I69" s="10"/>
      <c r="J69" s="12"/>
      <c r="K69" s="11"/>
      <c r="L69" s="13">
        <f>IF(G69="","",IF(I69="Sold",IF(K69="","",K69-G69),TODAY()-G69))</f>
      </c>
      <c r="M69" s="14">
        <f>IF(J69="","",J69-E69)</f>
      </c>
      <c r="N69" s="13">
        <f>IF(OR(G69="",I69&lt;&gt;"Listed"),"",IF(TODAY()-G69&gt;60,"Reprice or move it",IF(TODAY()-G69&gt;30,"Check price","")))</f>
      </c>
    </row>
    <row r="70" spans="1:14" x14ac:dyDescent="0.25">
      <c r="A70" s="10"/>
      <c r="B70" s="10"/>
      <c r="C70" s="10"/>
      <c r="D70" s="11"/>
      <c r="E70" s="12"/>
      <c r="F70" s="10"/>
      <c r="G70" s="11"/>
      <c r="H70" s="12"/>
      <c r="I70" s="10"/>
      <c r="J70" s="12"/>
      <c r="K70" s="11"/>
      <c r="L70" s="13">
        <f>IF(G70="","",IF(I70="Sold",IF(K70="","",K70-G70),TODAY()-G70))</f>
      </c>
      <c r="M70" s="14">
        <f>IF(J70="","",J70-E70)</f>
      </c>
      <c r="N70" s="13">
        <f>IF(OR(G70="",I70&lt;&gt;"Listed"),"",IF(TODAY()-G70&gt;60,"Reprice or move it",IF(TODAY()-G70&gt;30,"Check price","")))</f>
      </c>
    </row>
    <row r="71" spans="1:14" x14ac:dyDescent="0.25">
      <c r="A71" s="10"/>
      <c r="B71" s="10"/>
      <c r="C71" s="10"/>
      <c r="D71" s="11"/>
      <c r="E71" s="12"/>
      <c r="F71" s="10"/>
      <c r="G71" s="11"/>
      <c r="H71" s="12"/>
      <c r="I71" s="10"/>
      <c r="J71" s="12"/>
      <c r="K71" s="11"/>
      <c r="L71" s="13">
        <f>IF(G71="","",IF(I71="Sold",IF(K71="","",K71-G71),TODAY()-G71))</f>
      </c>
      <c r="M71" s="14">
        <f>IF(J71="","",J71-E71)</f>
      </c>
      <c r="N71" s="13">
        <f>IF(OR(G71="",I71&lt;&gt;"Listed"),"",IF(TODAY()-G71&gt;60,"Reprice or move it",IF(TODAY()-G71&gt;30,"Check price","")))</f>
      </c>
    </row>
    <row r="72" spans="1:14" x14ac:dyDescent="0.25">
      <c r="A72" s="10"/>
      <c r="B72" s="10"/>
      <c r="C72" s="10"/>
      <c r="D72" s="11"/>
      <c r="E72" s="12"/>
      <c r="F72" s="10"/>
      <c r="G72" s="11"/>
      <c r="H72" s="12"/>
      <c r="I72" s="10"/>
      <c r="J72" s="12"/>
      <c r="K72" s="11"/>
      <c r="L72" s="13">
        <f>IF(G72="","",IF(I72="Sold",IF(K72="","",K72-G72),TODAY()-G72))</f>
      </c>
      <c r="M72" s="14">
        <f>IF(J72="","",J72-E72)</f>
      </c>
      <c r="N72" s="13">
        <f>IF(OR(G72="",I72&lt;&gt;"Listed"),"",IF(TODAY()-G72&gt;60,"Reprice or move it",IF(TODAY()-G72&gt;30,"Check price","")))</f>
      </c>
    </row>
    <row r="73" spans="1:14" x14ac:dyDescent="0.25">
      <c r="A73" s="10"/>
      <c r="B73" s="10"/>
      <c r="C73" s="10"/>
      <c r="D73" s="11"/>
      <c r="E73" s="12"/>
      <c r="F73" s="10"/>
      <c r="G73" s="11"/>
      <c r="H73" s="12"/>
      <c r="I73" s="10"/>
      <c r="J73" s="12"/>
      <c r="K73" s="11"/>
      <c r="L73" s="13">
        <f>IF(G73="","",IF(I73="Sold",IF(K73="","",K73-G73),TODAY()-G73))</f>
      </c>
      <c r="M73" s="14">
        <f>IF(J73="","",J73-E73)</f>
      </c>
      <c r="N73" s="13">
        <f>IF(OR(G73="",I73&lt;&gt;"Listed"),"",IF(TODAY()-G73&gt;60,"Reprice or move it",IF(TODAY()-G73&gt;30,"Check price","")))</f>
      </c>
    </row>
    <row r="74" spans="1:14" x14ac:dyDescent="0.25">
      <c r="A74" s="10"/>
      <c r="B74" s="10"/>
      <c r="C74" s="10"/>
      <c r="D74" s="11"/>
      <c r="E74" s="12"/>
      <c r="F74" s="10"/>
      <c r="G74" s="11"/>
      <c r="H74" s="12"/>
      <c r="I74" s="10"/>
      <c r="J74" s="12"/>
      <c r="K74" s="11"/>
      <c r="L74" s="13">
        <f>IF(G74="","",IF(I74="Sold",IF(K74="","",K74-G74),TODAY()-G74))</f>
      </c>
      <c r="M74" s="14">
        <f>IF(J74="","",J74-E74)</f>
      </c>
      <c r="N74" s="13">
        <f>IF(OR(G74="",I74&lt;&gt;"Listed"),"",IF(TODAY()-G74&gt;60,"Reprice or move it",IF(TODAY()-G74&gt;30,"Check price","")))</f>
      </c>
    </row>
    <row r="75" spans="1:14" x14ac:dyDescent="0.25">
      <c r="A75" s="10"/>
      <c r="B75" s="10"/>
      <c r="C75" s="10"/>
      <c r="D75" s="11"/>
      <c r="E75" s="12"/>
      <c r="F75" s="10"/>
      <c r="G75" s="11"/>
      <c r="H75" s="12"/>
      <c r="I75" s="10"/>
      <c r="J75" s="12"/>
      <c r="K75" s="11"/>
      <c r="L75" s="13">
        <f>IF(G75="","",IF(I75="Sold",IF(K75="","",K75-G75),TODAY()-G75))</f>
      </c>
      <c r="M75" s="14">
        <f>IF(J75="","",J75-E75)</f>
      </c>
      <c r="N75" s="13">
        <f>IF(OR(G75="",I75&lt;&gt;"Listed"),"",IF(TODAY()-G75&gt;60,"Reprice or move it",IF(TODAY()-G75&gt;30,"Check price","")))</f>
      </c>
    </row>
    <row r="76" spans="1:14" x14ac:dyDescent="0.25">
      <c r="A76" s="10"/>
      <c r="B76" s="10"/>
      <c r="C76" s="10"/>
      <c r="D76" s="11"/>
      <c r="E76" s="12"/>
      <c r="F76" s="10"/>
      <c r="G76" s="11"/>
      <c r="H76" s="12"/>
      <c r="I76" s="10"/>
      <c r="J76" s="12"/>
      <c r="K76" s="11"/>
      <c r="L76" s="13">
        <f>IF(G76="","",IF(I76="Sold",IF(K76="","",K76-G76),TODAY()-G76))</f>
      </c>
      <c r="M76" s="14">
        <f>IF(J76="","",J76-E76)</f>
      </c>
      <c r="N76" s="13">
        <f>IF(OR(G76="",I76&lt;&gt;"Listed"),"",IF(TODAY()-G76&gt;60,"Reprice or move it",IF(TODAY()-G76&gt;30,"Check price","")))</f>
      </c>
    </row>
    <row r="77" spans="1:14" x14ac:dyDescent="0.25">
      <c r="A77" s="10"/>
      <c r="B77" s="10"/>
      <c r="C77" s="10"/>
      <c r="D77" s="11"/>
      <c r="E77" s="12"/>
      <c r="F77" s="10"/>
      <c r="G77" s="11"/>
      <c r="H77" s="12"/>
      <c r="I77" s="10"/>
      <c r="J77" s="12"/>
      <c r="K77" s="11"/>
      <c r="L77" s="13">
        <f>IF(G77="","",IF(I77="Sold",IF(K77="","",K77-G77),TODAY()-G77))</f>
      </c>
      <c r="M77" s="14">
        <f>IF(J77="","",J77-E77)</f>
      </c>
      <c r="N77" s="13">
        <f>IF(OR(G77="",I77&lt;&gt;"Listed"),"",IF(TODAY()-G77&gt;60,"Reprice or move it",IF(TODAY()-G77&gt;30,"Check price","")))</f>
      </c>
    </row>
    <row r="78" spans="1:14" x14ac:dyDescent="0.25">
      <c r="A78" s="10"/>
      <c r="B78" s="10"/>
      <c r="C78" s="10"/>
      <c r="D78" s="11"/>
      <c r="E78" s="12"/>
      <c r="F78" s="10"/>
      <c r="G78" s="11"/>
      <c r="H78" s="12"/>
      <c r="I78" s="10"/>
      <c r="J78" s="12"/>
      <c r="K78" s="11"/>
      <c r="L78" s="13">
        <f>IF(G78="","",IF(I78="Sold",IF(K78="","",K78-G78),TODAY()-G78))</f>
      </c>
      <c r="M78" s="14">
        <f>IF(J78="","",J78-E78)</f>
      </c>
      <c r="N78" s="13">
        <f>IF(OR(G78="",I78&lt;&gt;"Listed"),"",IF(TODAY()-G78&gt;60,"Reprice or move it",IF(TODAY()-G78&gt;30,"Check price","")))</f>
      </c>
    </row>
    <row r="79" spans="1:14" x14ac:dyDescent="0.25">
      <c r="A79" s="10"/>
      <c r="B79" s="10"/>
      <c r="C79" s="10"/>
      <c r="D79" s="11"/>
      <c r="E79" s="12"/>
      <c r="F79" s="10"/>
      <c r="G79" s="11"/>
      <c r="H79" s="12"/>
      <c r="I79" s="10"/>
      <c r="J79" s="12"/>
      <c r="K79" s="11"/>
      <c r="L79" s="13">
        <f>IF(G79="","",IF(I79="Sold",IF(K79="","",K79-G79),TODAY()-G79))</f>
      </c>
      <c r="M79" s="14">
        <f>IF(J79="","",J79-E79)</f>
      </c>
      <c r="N79" s="13">
        <f>IF(OR(G79="",I79&lt;&gt;"Listed"),"",IF(TODAY()-G79&gt;60,"Reprice or move it",IF(TODAY()-G79&gt;30,"Check price","")))</f>
      </c>
    </row>
    <row r="80" spans="1:14" x14ac:dyDescent="0.25">
      <c r="A80" s="10"/>
      <c r="B80" s="10"/>
      <c r="C80" s="10"/>
      <c r="D80" s="11"/>
      <c r="E80" s="12"/>
      <c r="F80" s="10"/>
      <c r="G80" s="11"/>
      <c r="H80" s="12"/>
      <c r="I80" s="10"/>
      <c r="J80" s="12"/>
      <c r="K80" s="11"/>
      <c r="L80" s="13">
        <f>IF(G80="","",IF(I80="Sold",IF(K80="","",K80-G80),TODAY()-G80))</f>
      </c>
      <c r="M80" s="14">
        <f>IF(J80="","",J80-E80)</f>
      </c>
      <c r="N80" s="13">
        <f>IF(OR(G80="",I80&lt;&gt;"Listed"),"",IF(TODAY()-G80&gt;60,"Reprice or move it",IF(TODAY()-G80&gt;30,"Check price","")))</f>
      </c>
    </row>
    <row r="81" spans="1:14" x14ac:dyDescent="0.25">
      <c r="A81" s="10"/>
      <c r="B81" s="10"/>
      <c r="C81" s="10"/>
      <c r="D81" s="11"/>
      <c r="E81" s="12"/>
      <c r="F81" s="10"/>
      <c r="G81" s="11"/>
      <c r="H81" s="12"/>
      <c r="I81" s="10"/>
      <c r="J81" s="12"/>
      <c r="K81" s="11"/>
      <c r="L81" s="13">
        <f>IF(G81="","",IF(I81="Sold",IF(K81="","",K81-G81),TODAY()-G81))</f>
      </c>
      <c r="M81" s="14">
        <f>IF(J81="","",J81-E81)</f>
      </c>
      <c r="N81" s="13">
        <f>IF(OR(G81="",I81&lt;&gt;"Listed"),"",IF(TODAY()-G81&gt;60,"Reprice or move it",IF(TODAY()-G81&gt;30,"Check price","")))</f>
      </c>
    </row>
    <row r="82" spans="1:14" x14ac:dyDescent="0.25">
      <c r="A82" s="10"/>
      <c r="B82" s="10"/>
      <c r="C82" s="10"/>
      <c r="D82" s="11"/>
      <c r="E82" s="12"/>
      <c r="F82" s="10"/>
      <c r="G82" s="11"/>
      <c r="H82" s="12"/>
      <c r="I82" s="10"/>
      <c r="J82" s="12"/>
      <c r="K82" s="11"/>
      <c r="L82" s="13">
        <f>IF(G82="","",IF(I82="Sold",IF(K82="","",K82-G82),TODAY()-G82))</f>
      </c>
      <c r="M82" s="14">
        <f>IF(J82="","",J82-E82)</f>
      </c>
      <c r="N82" s="13">
        <f>IF(OR(G82="",I82&lt;&gt;"Listed"),"",IF(TODAY()-G82&gt;60,"Reprice or move it",IF(TODAY()-G82&gt;30,"Check price","")))</f>
      </c>
    </row>
    <row r="83" spans="1:14" x14ac:dyDescent="0.25">
      <c r="A83" s="10"/>
      <c r="B83" s="10"/>
      <c r="C83" s="10"/>
      <c r="D83" s="11"/>
      <c r="E83" s="12"/>
      <c r="F83" s="10"/>
      <c r="G83" s="11"/>
      <c r="H83" s="12"/>
      <c r="I83" s="10"/>
      <c r="J83" s="12"/>
      <c r="K83" s="11"/>
      <c r="L83" s="13">
        <f>IF(G83="","",IF(I83="Sold",IF(K83="","",K83-G83),TODAY()-G83))</f>
      </c>
      <c r="M83" s="14">
        <f>IF(J83="","",J83-E83)</f>
      </c>
      <c r="N83" s="13">
        <f>IF(OR(G83="",I83&lt;&gt;"Listed"),"",IF(TODAY()-G83&gt;60,"Reprice or move it",IF(TODAY()-G83&gt;30,"Check price","")))</f>
      </c>
    </row>
    <row r="84" spans="1:14" x14ac:dyDescent="0.25">
      <c r="A84" s="10"/>
      <c r="B84" s="10"/>
      <c r="C84" s="10"/>
      <c r="D84" s="11"/>
      <c r="E84" s="12"/>
      <c r="F84" s="10"/>
      <c r="G84" s="11"/>
      <c r="H84" s="12"/>
      <c r="I84" s="10"/>
      <c r="J84" s="12"/>
      <c r="K84" s="11"/>
      <c r="L84" s="13">
        <f>IF(G84="","",IF(I84="Sold",IF(K84="","",K84-G84),TODAY()-G84))</f>
      </c>
      <c r="M84" s="14">
        <f>IF(J84="","",J84-E84)</f>
      </c>
      <c r="N84" s="13">
        <f>IF(OR(G84="",I84&lt;&gt;"Listed"),"",IF(TODAY()-G84&gt;60,"Reprice or move it",IF(TODAY()-G84&gt;30,"Check price","")))</f>
      </c>
    </row>
    <row r="85" spans="1:14" x14ac:dyDescent="0.25">
      <c r="A85" s="10"/>
      <c r="B85" s="10"/>
      <c r="C85" s="10"/>
      <c r="D85" s="11"/>
      <c r="E85" s="12"/>
      <c r="F85" s="10"/>
      <c r="G85" s="11"/>
      <c r="H85" s="12"/>
      <c r="I85" s="10"/>
      <c r="J85" s="12"/>
      <c r="K85" s="11"/>
      <c r="L85" s="13">
        <f>IF(G85="","",IF(I85="Sold",IF(K85="","",K85-G85),TODAY()-G85))</f>
      </c>
      <c r="M85" s="14">
        <f>IF(J85="","",J85-E85)</f>
      </c>
      <c r="N85" s="13">
        <f>IF(OR(G85="",I85&lt;&gt;"Listed"),"",IF(TODAY()-G85&gt;60,"Reprice or move it",IF(TODAY()-G85&gt;30,"Check price","")))</f>
      </c>
    </row>
    <row r="86" spans="1:14" x14ac:dyDescent="0.25">
      <c r="A86" s="10"/>
      <c r="B86" s="10"/>
      <c r="C86" s="10"/>
      <c r="D86" s="11"/>
      <c r="E86" s="12"/>
      <c r="F86" s="10"/>
      <c r="G86" s="11"/>
      <c r="H86" s="12"/>
      <c r="I86" s="10"/>
      <c r="J86" s="12"/>
      <c r="K86" s="11"/>
      <c r="L86" s="13">
        <f>IF(G86="","",IF(I86="Sold",IF(K86="","",K86-G86),TODAY()-G86))</f>
      </c>
      <c r="M86" s="14">
        <f>IF(J86="","",J86-E86)</f>
      </c>
      <c r="N86" s="13">
        <f>IF(OR(G86="",I86&lt;&gt;"Listed"),"",IF(TODAY()-G86&gt;60,"Reprice or move it",IF(TODAY()-G86&gt;30,"Check price","")))</f>
      </c>
    </row>
    <row r="87" spans="1:14" x14ac:dyDescent="0.25">
      <c r="A87" s="10"/>
      <c r="B87" s="10"/>
      <c r="C87" s="10"/>
      <c r="D87" s="11"/>
      <c r="E87" s="12"/>
      <c r="F87" s="10"/>
      <c r="G87" s="11"/>
      <c r="H87" s="12"/>
      <c r="I87" s="10"/>
      <c r="J87" s="12"/>
      <c r="K87" s="11"/>
      <c r="L87" s="13">
        <f>IF(G87="","",IF(I87="Sold",IF(K87="","",K87-G87),TODAY()-G87))</f>
      </c>
      <c r="M87" s="14">
        <f>IF(J87="","",J87-E87)</f>
      </c>
      <c r="N87" s="13">
        <f>IF(OR(G87="",I87&lt;&gt;"Listed"),"",IF(TODAY()-G87&gt;60,"Reprice or move it",IF(TODAY()-G87&gt;30,"Check price","")))</f>
      </c>
    </row>
    <row r="88" spans="1:14" x14ac:dyDescent="0.25">
      <c r="A88" s="10"/>
      <c r="B88" s="10"/>
      <c r="C88" s="10"/>
      <c r="D88" s="11"/>
      <c r="E88" s="12"/>
      <c r="F88" s="10"/>
      <c r="G88" s="11"/>
      <c r="H88" s="12"/>
      <c r="I88" s="10"/>
      <c r="J88" s="12"/>
      <c r="K88" s="11"/>
      <c r="L88" s="13">
        <f>IF(G88="","",IF(I88="Sold",IF(K88="","",K88-G88),TODAY()-G88))</f>
      </c>
      <c r="M88" s="14">
        <f>IF(J88="","",J88-E88)</f>
      </c>
      <c r="N88" s="13">
        <f>IF(OR(G88="",I88&lt;&gt;"Listed"),"",IF(TODAY()-G88&gt;60,"Reprice or move it",IF(TODAY()-G88&gt;30,"Check price","")))</f>
      </c>
    </row>
    <row r="89" spans="1:14" x14ac:dyDescent="0.25">
      <c r="A89" s="10"/>
      <c r="B89" s="10"/>
      <c r="C89" s="10"/>
      <c r="D89" s="11"/>
      <c r="E89" s="12"/>
      <c r="F89" s="10"/>
      <c r="G89" s="11"/>
      <c r="H89" s="12"/>
      <c r="I89" s="10"/>
      <c r="J89" s="12"/>
      <c r="K89" s="11"/>
      <c r="L89" s="13">
        <f>IF(G89="","",IF(I89="Sold",IF(K89="","",K89-G89),TODAY()-G89))</f>
      </c>
      <c r="M89" s="14">
        <f>IF(J89="","",J89-E89)</f>
      </c>
      <c r="N89" s="13">
        <f>IF(OR(G89="",I89&lt;&gt;"Listed"),"",IF(TODAY()-G89&gt;60,"Reprice or move it",IF(TODAY()-G89&gt;30,"Check price","")))</f>
      </c>
    </row>
    <row r="90" spans="1:14" x14ac:dyDescent="0.25">
      <c r="A90" s="10"/>
      <c r="B90" s="10"/>
      <c r="C90" s="10"/>
      <c r="D90" s="11"/>
      <c r="E90" s="12"/>
      <c r="F90" s="10"/>
      <c r="G90" s="11"/>
      <c r="H90" s="12"/>
      <c r="I90" s="10"/>
      <c r="J90" s="12"/>
      <c r="K90" s="11"/>
      <c r="L90" s="13">
        <f>IF(G90="","",IF(I90="Sold",IF(K90="","",K90-G90),TODAY()-G90))</f>
      </c>
      <c r="M90" s="14">
        <f>IF(J90="","",J90-E90)</f>
      </c>
      <c r="N90" s="13">
        <f>IF(OR(G90="",I90&lt;&gt;"Listed"),"",IF(TODAY()-G90&gt;60,"Reprice or move it",IF(TODAY()-G90&gt;30,"Check price","")))</f>
      </c>
    </row>
    <row r="91" spans="1:14" x14ac:dyDescent="0.25">
      <c r="A91" s="10"/>
      <c r="B91" s="10"/>
      <c r="C91" s="10"/>
      <c r="D91" s="11"/>
      <c r="E91" s="12"/>
      <c r="F91" s="10"/>
      <c r="G91" s="11"/>
      <c r="H91" s="12"/>
      <c r="I91" s="10"/>
      <c r="J91" s="12"/>
      <c r="K91" s="11"/>
      <c r="L91" s="13">
        <f>IF(G91="","",IF(I91="Sold",IF(K91="","",K91-G91),TODAY()-G91))</f>
      </c>
      <c r="M91" s="14">
        <f>IF(J91="","",J91-E91)</f>
      </c>
      <c r="N91" s="13">
        <f>IF(OR(G91="",I91&lt;&gt;"Listed"),"",IF(TODAY()-G91&gt;60,"Reprice or move it",IF(TODAY()-G91&gt;30,"Check price","")))</f>
      </c>
    </row>
    <row r="92" spans="1:14" x14ac:dyDescent="0.25">
      <c r="A92" s="10"/>
      <c r="B92" s="10"/>
      <c r="C92" s="10"/>
      <c r="D92" s="11"/>
      <c r="E92" s="12"/>
      <c r="F92" s="10"/>
      <c r="G92" s="11"/>
      <c r="H92" s="12"/>
      <c r="I92" s="10"/>
      <c r="J92" s="12"/>
      <c r="K92" s="11"/>
      <c r="L92" s="13">
        <f>IF(G92="","",IF(I92="Sold",IF(K92="","",K92-G92),TODAY()-G92))</f>
      </c>
      <c r="M92" s="14">
        <f>IF(J92="","",J92-E92)</f>
      </c>
      <c r="N92" s="13">
        <f>IF(OR(G92="",I92&lt;&gt;"Listed"),"",IF(TODAY()-G92&gt;60,"Reprice or move it",IF(TODAY()-G92&gt;30,"Check price","")))</f>
      </c>
    </row>
    <row r="93" spans="1:14" x14ac:dyDescent="0.25">
      <c r="A93" s="10"/>
      <c r="B93" s="10"/>
      <c r="C93" s="10"/>
      <c r="D93" s="11"/>
      <c r="E93" s="12"/>
      <c r="F93" s="10"/>
      <c r="G93" s="11"/>
      <c r="H93" s="12"/>
      <c r="I93" s="10"/>
      <c r="J93" s="12"/>
      <c r="K93" s="11"/>
      <c r="L93" s="13">
        <f>IF(G93="","",IF(I93="Sold",IF(K93="","",K93-G93),TODAY()-G93))</f>
      </c>
      <c r="M93" s="14">
        <f>IF(J93="","",J93-E93)</f>
      </c>
      <c r="N93" s="13">
        <f>IF(OR(G93="",I93&lt;&gt;"Listed"),"",IF(TODAY()-G93&gt;60,"Reprice or move it",IF(TODAY()-G93&gt;30,"Check price","")))</f>
      </c>
    </row>
    <row r="94" spans="1:14" x14ac:dyDescent="0.25">
      <c r="A94" s="10"/>
      <c r="B94" s="10"/>
      <c r="C94" s="10"/>
      <c r="D94" s="11"/>
      <c r="E94" s="12"/>
      <c r="F94" s="10"/>
      <c r="G94" s="11"/>
      <c r="H94" s="12"/>
      <c r="I94" s="10"/>
      <c r="J94" s="12"/>
      <c r="K94" s="11"/>
      <c r="L94" s="13">
        <f>IF(G94="","",IF(I94="Sold",IF(K94="","",K94-G94),TODAY()-G94))</f>
      </c>
      <c r="M94" s="14">
        <f>IF(J94="","",J94-E94)</f>
      </c>
      <c r="N94" s="13">
        <f>IF(OR(G94="",I94&lt;&gt;"Listed"),"",IF(TODAY()-G94&gt;60,"Reprice or move it",IF(TODAY()-G94&gt;30,"Check price","")))</f>
      </c>
    </row>
    <row r="95" spans="1:14" x14ac:dyDescent="0.25">
      <c r="A95" s="10"/>
      <c r="B95" s="10"/>
      <c r="C95" s="10"/>
      <c r="D95" s="11"/>
      <c r="E95" s="12"/>
      <c r="F95" s="10"/>
      <c r="G95" s="11"/>
      <c r="H95" s="12"/>
      <c r="I95" s="10"/>
      <c r="J95" s="12"/>
      <c r="K95" s="11"/>
      <c r="L95" s="13">
        <f>IF(G95="","",IF(I95="Sold",IF(K95="","",K95-G95),TODAY()-G95))</f>
      </c>
      <c r="M95" s="14">
        <f>IF(J95="","",J95-E95)</f>
      </c>
      <c r="N95" s="13">
        <f>IF(OR(G95="",I95&lt;&gt;"Listed"),"",IF(TODAY()-G95&gt;60,"Reprice or move it",IF(TODAY()-G95&gt;30,"Check price","")))</f>
      </c>
    </row>
    <row r="96" spans="1:14" x14ac:dyDescent="0.25">
      <c r="A96" s="10"/>
      <c r="B96" s="10"/>
      <c r="C96" s="10"/>
      <c r="D96" s="11"/>
      <c r="E96" s="12"/>
      <c r="F96" s="10"/>
      <c r="G96" s="11"/>
      <c r="H96" s="12"/>
      <c r="I96" s="10"/>
      <c r="J96" s="12"/>
      <c r="K96" s="11"/>
      <c r="L96" s="13">
        <f>IF(G96="","",IF(I96="Sold",IF(K96="","",K96-G96),TODAY()-G96))</f>
      </c>
      <c r="M96" s="14">
        <f>IF(J96="","",J96-E96)</f>
      </c>
      <c r="N96" s="13">
        <f>IF(OR(G96="",I96&lt;&gt;"Listed"),"",IF(TODAY()-G96&gt;60,"Reprice or move it",IF(TODAY()-G96&gt;30,"Check price","")))</f>
      </c>
    </row>
    <row r="97" spans="1:14" x14ac:dyDescent="0.25">
      <c r="A97" s="10"/>
      <c r="B97" s="10"/>
      <c r="C97" s="10"/>
      <c r="D97" s="11"/>
      <c r="E97" s="12"/>
      <c r="F97" s="10"/>
      <c r="G97" s="11"/>
      <c r="H97" s="12"/>
      <c r="I97" s="10"/>
      <c r="J97" s="12"/>
      <c r="K97" s="11"/>
      <c r="L97" s="13">
        <f>IF(G97="","",IF(I97="Sold",IF(K97="","",K97-G97),TODAY()-G97))</f>
      </c>
      <c r="M97" s="14">
        <f>IF(J97="","",J97-E97)</f>
      </c>
      <c r="N97" s="13">
        <f>IF(OR(G97="",I97&lt;&gt;"Listed"),"",IF(TODAY()-G97&gt;60,"Reprice or move it",IF(TODAY()-G97&gt;30,"Check price","")))</f>
      </c>
    </row>
    <row r="98" spans="1:14" x14ac:dyDescent="0.25">
      <c r="A98" s="10"/>
      <c r="B98" s="10"/>
      <c r="C98" s="10"/>
      <c r="D98" s="11"/>
      <c r="E98" s="12"/>
      <c r="F98" s="10"/>
      <c r="G98" s="11"/>
      <c r="H98" s="12"/>
      <c r="I98" s="10"/>
      <c r="J98" s="12"/>
      <c r="K98" s="11"/>
      <c r="L98" s="13">
        <f>IF(G98="","",IF(I98="Sold",IF(K98="","",K98-G98),TODAY()-G98))</f>
      </c>
      <c r="M98" s="14">
        <f>IF(J98="","",J98-E98)</f>
      </c>
      <c r="N98" s="13">
        <f>IF(OR(G98="",I98&lt;&gt;"Listed"),"",IF(TODAY()-G98&gt;60,"Reprice or move it",IF(TODAY()-G98&gt;30,"Check price","")))</f>
      </c>
    </row>
    <row r="99" spans="1:14" x14ac:dyDescent="0.25">
      <c r="A99" s="10"/>
      <c r="B99" s="10"/>
      <c r="C99" s="10"/>
      <c r="D99" s="11"/>
      <c r="E99" s="12"/>
      <c r="F99" s="10"/>
      <c r="G99" s="11"/>
      <c r="H99" s="12"/>
      <c r="I99" s="10"/>
      <c r="J99" s="12"/>
      <c r="K99" s="11"/>
      <c r="L99" s="13">
        <f>IF(G99="","",IF(I99="Sold",IF(K99="","",K99-G99),TODAY()-G99))</f>
      </c>
      <c r="M99" s="14">
        <f>IF(J99="","",J99-E99)</f>
      </c>
      <c r="N99" s="13">
        <f>IF(OR(G99="",I99&lt;&gt;"Listed"),"",IF(TODAY()-G99&gt;60,"Reprice or move it",IF(TODAY()-G99&gt;30,"Check price","")))</f>
      </c>
    </row>
    <row r="100" spans="1:14" x14ac:dyDescent="0.25">
      <c r="A100" s="10"/>
      <c r="B100" s="10"/>
      <c r="C100" s="10"/>
      <c r="D100" s="11"/>
      <c r="E100" s="12"/>
      <c r="F100" s="10"/>
      <c r="G100" s="11"/>
      <c r="H100" s="12"/>
      <c r="I100" s="10"/>
      <c r="J100" s="12"/>
      <c r="K100" s="11"/>
      <c r="L100" s="13">
        <f>IF(G100="","",IF(I100="Sold",IF(K100="","",K100-G100),TODAY()-G100))</f>
      </c>
      <c r="M100" s="14">
        <f>IF(J100="","",J100-E100)</f>
      </c>
      <c r="N100" s="13">
        <f>IF(OR(G100="",I100&lt;&gt;"Listed"),"",IF(TODAY()-G100&gt;60,"Reprice or move it",IF(TODAY()-G100&gt;30,"Check price","")))</f>
      </c>
    </row>
    <row r="101" spans="1:14" x14ac:dyDescent="0.25">
      <c r="A101" s="10"/>
      <c r="B101" s="10"/>
      <c r="C101" s="10"/>
      <c r="D101" s="11"/>
      <c r="E101" s="12"/>
      <c r="F101" s="10"/>
      <c r="G101" s="11"/>
      <c r="H101" s="12"/>
      <c r="I101" s="10"/>
      <c r="J101" s="12"/>
      <c r="K101" s="11"/>
      <c r="L101" s="13">
        <f>IF(G101="","",IF(I101="Sold",IF(K101="","",K101-G101),TODAY()-G101))</f>
      </c>
      <c r="M101" s="14">
        <f>IF(J101="","",J101-E101)</f>
      </c>
      <c r="N101" s="13">
        <f>IF(OR(G101="",I101&lt;&gt;"Listed"),"",IF(TODAY()-G101&gt;60,"Reprice or move it",IF(TODAY()-G101&gt;30,"Check price","")))</f>
      </c>
    </row>
    <row r="102" spans="1:14" x14ac:dyDescent="0.25">
      <c r="A102" s="10"/>
      <c r="B102" s="10"/>
      <c r="C102" s="10"/>
      <c r="D102" s="11"/>
      <c r="E102" s="12"/>
      <c r="F102" s="10"/>
      <c r="G102" s="11"/>
      <c r="H102" s="12"/>
      <c r="I102" s="10"/>
      <c r="J102" s="12"/>
      <c r="K102" s="11"/>
      <c r="L102" s="13">
        <f>IF(G102="","",IF(I102="Sold",IF(K102="","",K102-G102),TODAY()-G102))</f>
      </c>
      <c r="M102" s="14">
        <f>IF(J102="","",J102-E102)</f>
      </c>
      <c r="N102" s="13">
        <f>IF(OR(G102="",I102&lt;&gt;"Listed"),"",IF(TODAY()-G102&gt;60,"Reprice or move it",IF(TODAY()-G102&gt;30,"Check price","")))</f>
      </c>
    </row>
    <row r="103" spans="1:14" x14ac:dyDescent="0.25">
      <c r="A103" s="10"/>
      <c r="B103" s="10"/>
      <c r="C103" s="10"/>
      <c r="D103" s="11"/>
      <c r="E103" s="12"/>
      <c r="F103" s="10"/>
      <c r="G103" s="11"/>
      <c r="H103" s="12"/>
      <c r="I103" s="10"/>
      <c r="J103" s="12"/>
      <c r="K103" s="11"/>
      <c r="L103" s="13">
        <f>IF(G103="","",IF(I103="Sold",IF(K103="","",K103-G103),TODAY()-G103))</f>
      </c>
      <c r="M103" s="14">
        <f>IF(J103="","",J103-E103)</f>
      </c>
      <c r="N103" s="13">
        <f>IF(OR(G103="",I103&lt;&gt;"Listed"),"",IF(TODAY()-G103&gt;60,"Reprice or move it",IF(TODAY()-G103&gt;30,"Check price","")))</f>
      </c>
    </row>
    <row r="104" spans="1:14" x14ac:dyDescent="0.25">
      <c r="A104" s="10"/>
      <c r="B104" s="10"/>
      <c r="C104" s="10"/>
      <c r="D104" s="11"/>
      <c r="E104" s="12"/>
      <c r="F104" s="10"/>
      <c r="G104" s="11"/>
      <c r="H104" s="12"/>
      <c r="I104" s="10"/>
      <c r="J104" s="12"/>
      <c r="K104" s="11"/>
      <c r="L104" s="13">
        <f>IF(G104="","",IF(I104="Sold",IF(K104="","",K104-G104),TODAY()-G104))</f>
      </c>
      <c r="M104" s="14">
        <f>IF(J104="","",J104-E104)</f>
      </c>
      <c r="N104" s="13">
        <f>IF(OR(G104="",I104&lt;&gt;"Listed"),"",IF(TODAY()-G104&gt;60,"Reprice or move it",IF(TODAY()-G104&gt;30,"Check price","")))</f>
      </c>
    </row>
    <row r="105" spans="1:14" x14ac:dyDescent="0.25">
      <c r="A105" s="10"/>
      <c r="B105" s="10"/>
      <c r="C105" s="10"/>
      <c r="D105" s="11"/>
      <c r="E105" s="12"/>
      <c r="F105" s="10"/>
      <c r="G105" s="11"/>
      <c r="H105" s="12"/>
      <c r="I105" s="10"/>
      <c r="J105" s="12"/>
      <c r="K105" s="11"/>
      <c r="L105" s="13">
        <f>IF(G105="","",IF(I105="Sold",IF(K105="","",K105-G105),TODAY()-G105))</f>
      </c>
      <c r="M105" s="14">
        <f>IF(J105="","",J105-E105)</f>
      </c>
      <c r="N105" s="13">
        <f>IF(OR(G105="",I105&lt;&gt;"Listed"),"",IF(TODAY()-G105&gt;60,"Reprice or move it",IF(TODAY()-G105&gt;30,"Check price","")))</f>
      </c>
    </row>
    <row r="106" spans="1:14" x14ac:dyDescent="0.25">
      <c r="A106" s="10"/>
      <c r="B106" s="10"/>
      <c r="C106" s="10"/>
      <c r="D106" s="11"/>
      <c r="E106" s="12"/>
      <c r="F106" s="10"/>
      <c r="G106" s="11"/>
      <c r="H106" s="12"/>
      <c r="I106" s="10"/>
      <c r="J106" s="12"/>
      <c r="K106" s="11"/>
      <c r="L106" s="13">
        <f>IF(G106="","",IF(I106="Sold",IF(K106="","",K106-G106),TODAY()-G106))</f>
      </c>
      <c r="M106" s="14">
        <f>IF(J106="","",J106-E106)</f>
      </c>
      <c r="N106" s="13">
        <f>IF(OR(G106="",I106&lt;&gt;"Listed"),"",IF(TODAY()-G106&gt;60,"Reprice or move it",IF(TODAY()-G106&gt;30,"Check price","")))</f>
      </c>
    </row>
    <row r="107" spans="1:14" x14ac:dyDescent="0.25">
      <c r="A107" s="10"/>
      <c r="B107" s="10"/>
      <c r="C107" s="10"/>
      <c r="D107" s="11"/>
      <c r="E107" s="12"/>
      <c r="F107" s="10"/>
      <c r="G107" s="11"/>
      <c r="H107" s="12"/>
      <c r="I107" s="10"/>
      <c r="J107" s="12"/>
      <c r="K107" s="11"/>
      <c r="L107" s="13">
        <f>IF(G107="","",IF(I107="Sold",IF(K107="","",K107-G107),TODAY()-G107))</f>
      </c>
      <c r="M107" s="14">
        <f>IF(J107="","",J107-E107)</f>
      </c>
      <c r="N107" s="13">
        <f>IF(OR(G107="",I107&lt;&gt;"Listed"),"",IF(TODAY()-G107&gt;60,"Reprice or move it",IF(TODAY()-G107&gt;30,"Check price","")))</f>
      </c>
    </row>
    <row r="108" spans="1:14" x14ac:dyDescent="0.25">
      <c r="A108" s="10"/>
      <c r="B108" s="10"/>
      <c r="C108" s="10"/>
      <c r="D108" s="11"/>
      <c r="E108" s="12"/>
      <c r="F108" s="10"/>
      <c r="G108" s="11"/>
      <c r="H108" s="12"/>
      <c r="I108" s="10"/>
      <c r="J108" s="12"/>
      <c r="K108" s="11"/>
      <c r="L108" s="13">
        <f>IF(G108="","",IF(I108="Sold",IF(K108="","",K108-G108),TODAY()-G108))</f>
      </c>
      <c r="M108" s="14">
        <f>IF(J108="","",J108-E108)</f>
      </c>
      <c r="N108" s="13">
        <f>IF(OR(G108="",I108&lt;&gt;"Listed"),"",IF(TODAY()-G108&gt;60,"Reprice or move it",IF(TODAY()-G108&gt;30,"Check price","")))</f>
      </c>
    </row>
    <row r="109" spans="1:14" x14ac:dyDescent="0.25">
      <c r="A109" s="10"/>
      <c r="B109" s="10"/>
      <c r="C109" s="10"/>
      <c r="D109" s="11"/>
      <c r="E109" s="12"/>
      <c r="F109" s="10"/>
      <c r="G109" s="11"/>
      <c r="H109" s="12"/>
      <c r="I109" s="10"/>
      <c r="J109" s="12"/>
      <c r="K109" s="11"/>
      <c r="L109" s="13">
        <f>IF(G109="","",IF(I109="Sold",IF(K109="","",K109-G109),TODAY()-G109))</f>
      </c>
      <c r="M109" s="14">
        <f>IF(J109="","",J109-E109)</f>
      </c>
      <c r="N109" s="13">
        <f>IF(OR(G109="",I109&lt;&gt;"Listed"),"",IF(TODAY()-G109&gt;60,"Reprice or move it",IF(TODAY()-G109&gt;30,"Check price","")))</f>
      </c>
    </row>
    <row r="110" spans="1:14" x14ac:dyDescent="0.25">
      <c r="A110" s="10"/>
      <c r="B110" s="10"/>
      <c r="C110" s="10"/>
      <c r="D110" s="11"/>
      <c r="E110" s="12"/>
      <c r="F110" s="10"/>
      <c r="G110" s="11"/>
      <c r="H110" s="12"/>
      <c r="I110" s="10"/>
      <c r="J110" s="12"/>
      <c r="K110" s="11"/>
      <c r="L110" s="13">
        <f>IF(G110="","",IF(I110="Sold",IF(K110="","",K110-G110),TODAY()-G110))</f>
      </c>
      <c r="M110" s="14">
        <f>IF(J110="","",J110-E110)</f>
      </c>
      <c r="N110" s="13">
        <f>IF(OR(G110="",I110&lt;&gt;"Listed"),"",IF(TODAY()-G110&gt;60,"Reprice or move it",IF(TODAY()-G110&gt;30,"Check price","")))</f>
      </c>
    </row>
    <row r="111" spans="1:14" x14ac:dyDescent="0.25">
      <c r="A111" s="10"/>
      <c r="B111" s="10"/>
      <c r="C111" s="10"/>
      <c r="D111" s="11"/>
      <c r="E111" s="12"/>
      <c r="F111" s="10"/>
      <c r="G111" s="11"/>
      <c r="H111" s="12"/>
      <c r="I111" s="10"/>
      <c r="J111" s="12"/>
      <c r="K111" s="11"/>
      <c r="L111" s="13">
        <f>IF(G111="","",IF(I111="Sold",IF(K111="","",K111-G111),TODAY()-G111))</f>
      </c>
      <c r="M111" s="14">
        <f>IF(J111="","",J111-E111)</f>
      </c>
      <c r="N111" s="13">
        <f>IF(OR(G111="",I111&lt;&gt;"Listed"),"",IF(TODAY()-G111&gt;60,"Reprice or move it",IF(TODAY()-G111&gt;30,"Check price","")))</f>
      </c>
    </row>
    <row r="112" spans="1:14" x14ac:dyDescent="0.25">
      <c r="A112" s="10"/>
      <c r="B112" s="10"/>
      <c r="C112" s="10"/>
      <c r="D112" s="11"/>
      <c r="E112" s="12"/>
      <c r="F112" s="10"/>
      <c r="G112" s="11"/>
      <c r="H112" s="12"/>
      <c r="I112" s="10"/>
      <c r="J112" s="12"/>
      <c r="K112" s="11"/>
      <c r="L112" s="13">
        <f>IF(G112="","",IF(I112="Sold",IF(K112="","",K112-G112),TODAY()-G112))</f>
      </c>
      <c r="M112" s="14">
        <f>IF(J112="","",J112-E112)</f>
      </c>
      <c r="N112" s="13">
        <f>IF(OR(G112="",I112&lt;&gt;"Listed"),"",IF(TODAY()-G112&gt;60,"Reprice or move it",IF(TODAY()-G112&gt;30,"Check price","")))</f>
      </c>
    </row>
    <row r="113" spans="1:14" x14ac:dyDescent="0.25">
      <c r="A113" s="10"/>
      <c r="B113" s="10"/>
      <c r="C113" s="10"/>
      <c r="D113" s="11"/>
      <c r="E113" s="12"/>
      <c r="F113" s="10"/>
      <c r="G113" s="11"/>
      <c r="H113" s="12"/>
      <c r="I113" s="10"/>
      <c r="J113" s="12"/>
      <c r="K113" s="11"/>
      <c r="L113" s="13">
        <f>IF(G113="","",IF(I113="Sold",IF(K113="","",K113-G113),TODAY()-G113))</f>
      </c>
      <c r="M113" s="14">
        <f>IF(J113="","",J113-E113)</f>
      </c>
      <c r="N113" s="13">
        <f>IF(OR(G113="",I113&lt;&gt;"Listed"),"",IF(TODAY()-G113&gt;60,"Reprice or move it",IF(TODAY()-G113&gt;30,"Check price","")))</f>
      </c>
    </row>
    <row r="114" spans="1:14" x14ac:dyDescent="0.25">
      <c r="A114" s="10"/>
      <c r="B114" s="10"/>
      <c r="C114" s="10"/>
      <c r="D114" s="11"/>
      <c r="E114" s="12"/>
      <c r="F114" s="10"/>
      <c r="G114" s="11"/>
      <c r="H114" s="12"/>
      <c r="I114" s="10"/>
      <c r="J114" s="12"/>
      <c r="K114" s="11"/>
      <c r="L114" s="13">
        <f>IF(G114="","",IF(I114="Sold",IF(K114="","",K114-G114),TODAY()-G114))</f>
      </c>
      <c r="M114" s="14">
        <f>IF(J114="","",J114-E114)</f>
      </c>
      <c r="N114" s="13">
        <f>IF(OR(G114="",I114&lt;&gt;"Listed"),"",IF(TODAY()-G114&gt;60,"Reprice or move it",IF(TODAY()-G114&gt;30,"Check price","")))</f>
      </c>
    </row>
    <row r="115" spans="1:14" x14ac:dyDescent="0.25">
      <c r="A115" s="10"/>
      <c r="B115" s="10"/>
      <c r="C115" s="10"/>
      <c r="D115" s="11"/>
      <c r="E115" s="12"/>
      <c r="F115" s="10"/>
      <c r="G115" s="11"/>
      <c r="H115" s="12"/>
      <c r="I115" s="10"/>
      <c r="J115" s="12"/>
      <c r="K115" s="11"/>
      <c r="L115" s="13">
        <f>IF(G115="","",IF(I115="Sold",IF(K115="","",K115-G115),TODAY()-G115))</f>
      </c>
      <c r="M115" s="14">
        <f>IF(J115="","",J115-E115)</f>
      </c>
      <c r="N115" s="13">
        <f>IF(OR(G115="",I115&lt;&gt;"Listed"),"",IF(TODAY()-G115&gt;60,"Reprice or move it",IF(TODAY()-G115&gt;30,"Check price","")))</f>
      </c>
    </row>
    <row r="116" spans="1:14" x14ac:dyDescent="0.25">
      <c r="A116" s="10"/>
      <c r="B116" s="10"/>
      <c r="C116" s="10"/>
      <c r="D116" s="11"/>
      <c r="E116" s="12"/>
      <c r="F116" s="10"/>
      <c r="G116" s="11"/>
      <c r="H116" s="12"/>
      <c r="I116" s="10"/>
      <c r="J116" s="12"/>
      <c r="K116" s="11"/>
      <c r="L116" s="13">
        <f>IF(G116="","",IF(I116="Sold",IF(K116="","",K116-G116),TODAY()-G116))</f>
      </c>
      <c r="M116" s="14">
        <f>IF(J116="","",J116-E116)</f>
      </c>
      <c r="N116" s="13">
        <f>IF(OR(G116="",I116&lt;&gt;"Listed"),"",IF(TODAY()-G116&gt;60,"Reprice or move it",IF(TODAY()-G116&gt;30,"Check price","")))</f>
      </c>
    </row>
    <row r="117" spans="1:14" x14ac:dyDescent="0.25">
      <c r="A117" s="10"/>
      <c r="B117" s="10"/>
      <c r="C117" s="10"/>
      <c r="D117" s="11"/>
      <c r="E117" s="12"/>
      <c r="F117" s="10"/>
      <c r="G117" s="11"/>
      <c r="H117" s="12"/>
      <c r="I117" s="10"/>
      <c r="J117" s="12"/>
      <c r="K117" s="11"/>
      <c r="L117" s="13">
        <f>IF(G117="","",IF(I117="Sold",IF(K117="","",K117-G117),TODAY()-G117))</f>
      </c>
      <c r="M117" s="14">
        <f>IF(J117="","",J117-E117)</f>
      </c>
      <c r="N117" s="13">
        <f>IF(OR(G117="",I117&lt;&gt;"Listed"),"",IF(TODAY()-G117&gt;60,"Reprice or move it",IF(TODAY()-G117&gt;30,"Check price","")))</f>
      </c>
    </row>
    <row r="118" spans="1:14" x14ac:dyDescent="0.25">
      <c r="A118" s="10"/>
      <c r="B118" s="10"/>
      <c r="C118" s="10"/>
      <c r="D118" s="11"/>
      <c r="E118" s="12"/>
      <c r="F118" s="10"/>
      <c r="G118" s="11"/>
      <c r="H118" s="12"/>
      <c r="I118" s="10"/>
      <c r="J118" s="12"/>
      <c r="K118" s="11"/>
      <c r="L118" s="13">
        <f>IF(G118="","",IF(I118="Sold",IF(K118="","",K118-G118),TODAY()-G118))</f>
      </c>
      <c r="M118" s="14">
        <f>IF(J118="","",J118-E118)</f>
      </c>
      <c r="N118" s="13">
        <f>IF(OR(G118="",I118&lt;&gt;"Listed"),"",IF(TODAY()-G118&gt;60,"Reprice or move it",IF(TODAY()-G118&gt;30,"Check price","")))</f>
      </c>
    </row>
    <row r="119" spans="1:14" x14ac:dyDescent="0.25">
      <c r="A119" s="10"/>
      <c r="B119" s="10"/>
      <c r="C119" s="10"/>
      <c r="D119" s="11"/>
      <c r="E119" s="12"/>
      <c r="F119" s="10"/>
      <c r="G119" s="11"/>
      <c r="H119" s="12"/>
      <c r="I119" s="10"/>
      <c r="J119" s="12"/>
      <c r="K119" s="11"/>
      <c r="L119" s="13">
        <f>IF(G119="","",IF(I119="Sold",IF(K119="","",K119-G119),TODAY()-G119))</f>
      </c>
      <c r="M119" s="14">
        <f>IF(J119="","",J119-E119)</f>
      </c>
      <c r="N119" s="13">
        <f>IF(OR(G119="",I119&lt;&gt;"Listed"),"",IF(TODAY()-G119&gt;60,"Reprice or move it",IF(TODAY()-G119&gt;30,"Check price","")))</f>
      </c>
    </row>
    <row r="120" spans="1:14" x14ac:dyDescent="0.25">
      <c r="A120" s="10"/>
      <c r="B120" s="10"/>
      <c r="C120" s="10"/>
      <c r="D120" s="11"/>
      <c r="E120" s="12"/>
      <c r="F120" s="10"/>
      <c r="G120" s="11"/>
      <c r="H120" s="12"/>
      <c r="I120" s="10"/>
      <c r="J120" s="12"/>
      <c r="K120" s="11"/>
      <c r="L120" s="13">
        <f>IF(G120="","",IF(I120="Sold",IF(K120="","",K120-G120),TODAY()-G120))</f>
      </c>
      <c r="M120" s="14">
        <f>IF(J120="","",J120-E120)</f>
      </c>
      <c r="N120" s="13">
        <f>IF(OR(G120="",I120&lt;&gt;"Listed"),"",IF(TODAY()-G120&gt;60,"Reprice or move it",IF(TODAY()-G120&gt;30,"Check price","")))</f>
      </c>
    </row>
    <row r="121" spans="1:14" x14ac:dyDescent="0.25">
      <c r="A121" s="10"/>
      <c r="B121" s="10"/>
      <c r="C121" s="10"/>
      <c r="D121" s="11"/>
      <c r="E121" s="12"/>
      <c r="F121" s="10"/>
      <c r="G121" s="11"/>
      <c r="H121" s="12"/>
      <c r="I121" s="10"/>
      <c r="J121" s="12"/>
      <c r="K121" s="11"/>
      <c r="L121" s="13">
        <f>IF(G121="","",IF(I121="Sold",IF(K121="","",K121-G121),TODAY()-G121))</f>
      </c>
      <c r="M121" s="14">
        <f>IF(J121="","",J121-E121)</f>
      </c>
      <c r="N121" s="13">
        <f>IF(OR(G121="",I121&lt;&gt;"Listed"),"",IF(TODAY()-G121&gt;60,"Reprice or move it",IF(TODAY()-G121&gt;30,"Check price","")))</f>
      </c>
    </row>
    <row r="122" spans="1:14" x14ac:dyDescent="0.25">
      <c r="A122" s="10"/>
      <c r="B122" s="10"/>
      <c r="C122" s="10"/>
      <c r="D122" s="11"/>
      <c r="E122" s="12"/>
      <c r="F122" s="10"/>
      <c r="G122" s="11"/>
      <c r="H122" s="12"/>
      <c r="I122" s="10"/>
      <c r="J122" s="12"/>
      <c r="K122" s="11"/>
      <c r="L122" s="13">
        <f>IF(G122="","",IF(I122="Sold",IF(K122="","",K122-G122),TODAY()-G122))</f>
      </c>
      <c r="M122" s="14">
        <f>IF(J122="","",J122-E122)</f>
      </c>
      <c r="N122" s="13">
        <f>IF(OR(G122="",I122&lt;&gt;"Listed"),"",IF(TODAY()-G122&gt;60,"Reprice or move it",IF(TODAY()-G122&gt;30,"Check price","")))</f>
      </c>
    </row>
    <row r="123" spans="1:14" x14ac:dyDescent="0.25">
      <c r="A123" s="10"/>
      <c r="B123" s="10"/>
      <c r="C123" s="10"/>
      <c r="D123" s="11"/>
      <c r="E123" s="12"/>
      <c r="F123" s="10"/>
      <c r="G123" s="11"/>
      <c r="H123" s="12"/>
      <c r="I123" s="10"/>
      <c r="J123" s="12"/>
      <c r="K123" s="11"/>
      <c r="L123" s="13">
        <f>IF(G123="","",IF(I123="Sold",IF(K123="","",K123-G123),TODAY()-G123))</f>
      </c>
      <c r="M123" s="14">
        <f>IF(J123="","",J123-E123)</f>
      </c>
      <c r="N123" s="13">
        <f>IF(OR(G123="",I123&lt;&gt;"Listed"),"",IF(TODAY()-G123&gt;60,"Reprice or move it",IF(TODAY()-G123&gt;30,"Check price","")))</f>
      </c>
    </row>
    <row r="124" spans="1:14" x14ac:dyDescent="0.25">
      <c r="A124" s="10"/>
      <c r="B124" s="10"/>
      <c r="C124" s="10"/>
      <c r="D124" s="11"/>
      <c r="E124" s="12"/>
      <c r="F124" s="10"/>
      <c r="G124" s="11"/>
      <c r="H124" s="12"/>
      <c r="I124" s="10"/>
      <c r="J124" s="12"/>
      <c r="K124" s="11"/>
      <c r="L124" s="13">
        <f>IF(G124="","",IF(I124="Sold",IF(K124="","",K124-G124),TODAY()-G124))</f>
      </c>
      <c r="M124" s="14">
        <f>IF(J124="","",J124-E124)</f>
      </c>
      <c r="N124" s="13">
        <f>IF(OR(G124="",I124&lt;&gt;"Listed"),"",IF(TODAY()-G124&gt;60,"Reprice or move it",IF(TODAY()-G124&gt;30,"Check price","")))</f>
      </c>
    </row>
    <row r="125" spans="1:14" x14ac:dyDescent="0.25">
      <c r="A125" s="10"/>
      <c r="B125" s="10"/>
      <c r="C125" s="10"/>
      <c r="D125" s="11"/>
      <c r="E125" s="12"/>
      <c r="F125" s="10"/>
      <c r="G125" s="11"/>
      <c r="H125" s="12"/>
      <c r="I125" s="10"/>
      <c r="J125" s="12"/>
      <c r="K125" s="11"/>
      <c r="L125" s="13">
        <f>IF(G125="","",IF(I125="Sold",IF(K125="","",K125-G125),TODAY()-G125))</f>
      </c>
      <c r="M125" s="14">
        <f>IF(J125="","",J125-E125)</f>
      </c>
      <c r="N125" s="13">
        <f>IF(OR(G125="",I125&lt;&gt;"Listed"),"",IF(TODAY()-G125&gt;60,"Reprice or move it",IF(TODAY()-G125&gt;30,"Check price","")))</f>
      </c>
    </row>
    <row r="126" spans="1:14" x14ac:dyDescent="0.25">
      <c r="A126" s="10"/>
      <c r="B126" s="10"/>
      <c r="C126" s="10"/>
      <c r="D126" s="11"/>
      <c r="E126" s="12"/>
      <c r="F126" s="10"/>
      <c r="G126" s="11"/>
      <c r="H126" s="12"/>
      <c r="I126" s="10"/>
      <c r="J126" s="12"/>
      <c r="K126" s="11"/>
      <c r="L126" s="13">
        <f>IF(G126="","",IF(I126="Sold",IF(K126="","",K126-G126),TODAY()-G126))</f>
      </c>
      <c r="M126" s="14">
        <f>IF(J126="","",J126-E126)</f>
      </c>
      <c r="N126" s="13">
        <f>IF(OR(G126="",I126&lt;&gt;"Listed"),"",IF(TODAY()-G126&gt;60,"Reprice or move it",IF(TODAY()-G126&gt;30,"Check price","")))</f>
      </c>
    </row>
    <row r="127" spans="1:14" x14ac:dyDescent="0.25">
      <c r="A127" s="10"/>
      <c r="B127" s="10"/>
      <c r="C127" s="10"/>
      <c r="D127" s="11"/>
      <c r="E127" s="12"/>
      <c r="F127" s="10"/>
      <c r="G127" s="11"/>
      <c r="H127" s="12"/>
      <c r="I127" s="10"/>
      <c r="J127" s="12"/>
      <c r="K127" s="11"/>
      <c r="L127" s="13">
        <f>IF(G127="","",IF(I127="Sold",IF(K127="","",K127-G127),TODAY()-G127))</f>
      </c>
      <c r="M127" s="14">
        <f>IF(J127="","",J127-E127)</f>
      </c>
      <c r="N127" s="13">
        <f>IF(OR(G127="",I127&lt;&gt;"Listed"),"",IF(TODAY()-G127&gt;60,"Reprice or move it",IF(TODAY()-G127&gt;30,"Check price","")))</f>
      </c>
    </row>
    <row r="128" spans="1:14" x14ac:dyDescent="0.25">
      <c r="A128" s="10"/>
      <c r="B128" s="10"/>
      <c r="C128" s="10"/>
      <c r="D128" s="11"/>
      <c r="E128" s="12"/>
      <c r="F128" s="10"/>
      <c r="G128" s="11"/>
      <c r="H128" s="12"/>
      <c r="I128" s="10"/>
      <c r="J128" s="12"/>
      <c r="K128" s="11"/>
      <c r="L128" s="13">
        <f>IF(G128="","",IF(I128="Sold",IF(K128="","",K128-G128),TODAY()-G128))</f>
      </c>
      <c r="M128" s="14">
        <f>IF(J128="","",J128-E128)</f>
      </c>
      <c r="N128" s="13">
        <f>IF(OR(G128="",I128&lt;&gt;"Listed"),"",IF(TODAY()-G128&gt;60,"Reprice or move it",IF(TODAY()-G128&gt;30,"Check price","")))</f>
      </c>
    </row>
    <row r="129" spans="1:14" x14ac:dyDescent="0.25">
      <c r="A129" s="10"/>
      <c r="B129" s="10"/>
      <c r="C129" s="10"/>
      <c r="D129" s="11"/>
      <c r="E129" s="12"/>
      <c r="F129" s="10"/>
      <c r="G129" s="11"/>
      <c r="H129" s="12"/>
      <c r="I129" s="10"/>
      <c r="J129" s="12"/>
      <c r="K129" s="11"/>
      <c r="L129" s="13">
        <f>IF(G129="","",IF(I129="Sold",IF(K129="","",K129-G129),TODAY()-G129))</f>
      </c>
      <c r="M129" s="14">
        <f>IF(J129="","",J129-E129)</f>
      </c>
      <c r="N129" s="13">
        <f>IF(OR(G129="",I129&lt;&gt;"Listed"),"",IF(TODAY()-G129&gt;60,"Reprice or move it",IF(TODAY()-G129&gt;30,"Check price","")))</f>
      </c>
    </row>
    <row r="130" spans="1:14" x14ac:dyDescent="0.25">
      <c r="A130" s="10"/>
      <c r="B130" s="10"/>
      <c r="C130" s="10"/>
      <c r="D130" s="11"/>
      <c r="E130" s="12"/>
      <c r="F130" s="10"/>
      <c r="G130" s="11"/>
      <c r="H130" s="12"/>
      <c r="I130" s="10"/>
      <c r="J130" s="12"/>
      <c r="K130" s="11"/>
      <c r="L130" s="13">
        <f>IF(G130="","",IF(I130="Sold",IF(K130="","",K130-G130),TODAY()-G130))</f>
      </c>
      <c r="M130" s="14">
        <f>IF(J130="","",J130-E130)</f>
      </c>
      <c r="N130" s="13">
        <f>IF(OR(G130="",I130&lt;&gt;"Listed"),"",IF(TODAY()-G130&gt;60,"Reprice or move it",IF(TODAY()-G130&gt;30,"Check price","")))</f>
      </c>
    </row>
    <row r="131" spans="1:14" x14ac:dyDescent="0.25">
      <c r="A131" s="10"/>
      <c r="B131" s="10"/>
      <c r="C131" s="10"/>
      <c r="D131" s="11"/>
      <c r="E131" s="12"/>
      <c r="F131" s="10"/>
      <c r="G131" s="11"/>
      <c r="H131" s="12"/>
      <c r="I131" s="10"/>
      <c r="J131" s="12"/>
      <c r="K131" s="11"/>
      <c r="L131" s="13">
        <f>IF(G131="","",IF(I131="Sold",IF(K131="","",K131-G131),TODAY()-G131))</f>
      </c>
      <c r="M131" s="14">
        <f>IF(J131="","",J131-E131)</f>
      </c>
      <c r="N131" s="13">
        <f>IF(OR(G131="",I131&lt;&gt;"Listed"),"",IF(TODAY()-G131&gt;60,"Reprice or move it",IF(TODAY()-G131&gt;30,"Check price","")))</f>
      </c>
    </row>
    <row r="132" spans="1:14" x14ac:dyDescent="0.25">
      <c r="A132" s="10"/>
      <c r="B132" s="10"/>
      <c r="C132" s="10"/>
      <c r="D132" s="11"/>
      <c r="E132" s="12"/>
      <c r="F132" s="10"/>
      <c r="G132" s="11"/>
      <c r="H132" s="12"/>
      <c r="I132" s="10"/>
      <c r="J132" s="12"/>
      <c r="K132" s="11"/>
      <c r="L132" s="13">
        <f>IF(G132="","",IF(I132="Sold",IF(K132="","",K132-G132),TODAY()-G132))</f>
      </c>
      <c r="M132" s="14">
        <f>IF(J132="","",J132-E132)</f>
      </c>
      <c r="N132" s="13">
        <f>IF(OR(G132="",I132&lt;&gt;"Listed"),"",IF(TODAY()-G132&gt;60,"Reprice or move it",IF(TODAY()-G132&gt;30,"Check price","")))</f>
      </c>
    </row>
    <row r="133" spans="1:14" x14ac:dyDescent="0.25">
      <c r="A133" s="10"/>
      <c r="B133" s="10"/>
      <c r="C133" s="10"/>
      <c r="D133" s="11"/>
      <c r="E133" s="12"/>
      <c r="F133" s="10"/>
      <c r="G133" s="11"/>
      <c r="H133" s="12"/>
      <c r="I133" s="10"/>
      <c r="J133" s="12"/>
      <c r="K133" s="11"/>
      <c r="L133" s="13">
        <f>IF(G133="","",IF(I133="Sold",IF(K133="","",K133-G133),TODAY()-G133))</f>
      </c>
      <c r="M133" s="14">
        <f>IF(J133="","",J133-E133)</f>
      </c>
      <c r="N133" s="13">
        <f>IF(OR(G133="",I133&lt;&gt;"Listed"),"",IF(TODAY()-G133&gt;60,"Reprice or move it",IF(TODAY()-G133&gt;30,"Check price","")))</f>
      </c>
    </row>
    <row r="134" spans="1:14" x14ac:dyDescent="0.25">
      <c r="A134" s="10"/>
      <c r="B134" s="10"/>
      <c r="C134" s="10"/>
      <c r="D134" s="11"/>
      <c r="E134" s="12"/>
      <c r="F134" s="10"/>
      <c r="G134" s="11"/>
      <c r="H134" s="12"/>
      <c r="I134" s="10"/>
      <c r="J134" s="12"/>
      <c r="K134" s="11"/>
      <c r="L134" s="13">
        <f>IF(G134="","",IF(I134="Sold",IF(K134="","",K134-G134),TODAY()-G134))</f>
      </c>
      <c r="M134" s="14">
        <f>IF(J134="","",J134-E134)</f>
      </c>
      <c r="N134" s="13">
        <f>IF(OR(G134="",I134&lt;&gt;"Listed"),"",IF(TODAY()-G134&gt;60,"Reprice or move it",IF(TODAY()-G134&gt;30,"Check price","")))</f>
      </c>
    </row>
    <row r="135" spans="1:14" x14ac:dyDescent="0.25">
      <c r="A135" s="10"/>
      <c r="B135" s="10"/>
      <c r="C135" s="10"/>
      <c r="D135" s="11"/>
      <c r="E135" s="12"/>
      <c r="F135" s="10"/>
      <c r="G135" s="11"/>
      <c r="H135" s="12"/>
      <c r="I135" s="10"/>
      <c r="J135" s="12"/>
      <c r="K135" s="11"/>
      <c r="L135" s="13">
        <f>IF(G135="","",IF(I135="Sold",IF(K135="","",K135-G135),TODAY()-G135))</f>
      </c>
      <c r="M135" s="14">
        <f>IF(J135="","",J135-E135)</f>
      </c>
      <c r="N135" s="13">
        <f>IF(OR(G135="",I135&lt;&gt;"Listed"),"",IF(TODAY()-G135&gt;60,"Reprice or move it",IF(TODAY()-G135&gt;30,"Check price","")))</f>
      </c>
    </row>
    <row r="136" spans="1:14" x14ac:dyDescent="0.25">
      <c r="A136" s="10"/>
      <c r="B136" s="10"/>
      <c r="C136" s="10"/>
      <c r="D136" s="11"/>
      <c r="E136" s="12"/>
      <c r="F136" s="10"/>
      <c r="G136" s="11"/>
      <c r="H136" s="12"/>
      <c r="I136" s="10"/>
      <c r="J136" s="12"/>
      <c r="K136" s="11"/>
      <c r="L136" s="13">
        <f>IF(G136="","",IF(I136="Sold",IF(K136="","",K136-G136),TODAY()-G136))</f>
      </c>
      <c r="M136" s="14">
        <f>IF(J136="","",J136-E136)</f>
      </c>
      <c r="N136" s="13">
        <f>IF(OR(G136="",I136&lt;&gt;"Listed"),"",IF(TODAY()-G136&gt;60,"Reprice or move it",IF(TODAY()-G136&gt;30,"Check price","")))</f>
      </c>
    </row>
    <row r="137" spans="1:14" x14ac:dyDescent="0.25">
      <c r="A137" s="10"/>
      <c r="B137" s="10"/>
      <c r="C137" s="10"/>
      <c r="D137" s="11"/>
      <c r="E137" s="12"/>
      <c r="F137" s="10"/>
      <c r="G137" s="11"/>
      <c r="H137" s="12"/>
      <c r="I137" s="10"/>
      <c r="J137" s="12"/>
      <c r="K137" s="11"/>
      <c r="L137" s="13">
        <f>IF(G137="","",IF(I137="Sold",IF(K137="","",K137-G137),TODAY()-G137))</f>
      </c>
      <c r="M137" s="14">
        <f>IF(J137="","",J137-E137)</f>
      </c>
      <c r="N137" s="13">
        <f>IF(OR(G137="",I137&lt;&gt;"Listed"),"",IF(TODAY()-G137&gt;60,"Reprice or move it",IF(TODAY()-G137&gt;30,"Check price","")))</f>
      </c>
    </row>
    <row r="138" spans="1:14" x14ac:dyDescent="0.25">
      <c r="A138" s="10"/>
      <c r="B138" s="10"/>
      <c r="C138" s="10"/>
      <c r="D138" s="11"/>
      <c r="E138" s="12"/>
      <c r="F138" s="10"/>
      <c r="G138" s="11"/>
      <c r="H138" s="12"/>
      <c r="I138" s="10"/>
      <c r="J138" s="12"/>
      <c r="K138" s="11"/>
      <c r="L138" s="13">
        <f>IF(G138="","",IF(I138="Sold",IF(K138="","",K138-G138),TODAY()-G138))</f>
      </c>
      <c r="M138" s="14">
        <f>IF(J138="","",J138-E138)</f>
      </c>
      <c r="N138" s="13">
        <f>IF(OR(G138="",I138&lt;&gt;"Listed"),"",IF(TODAY()-G138&gt;60,"Reprice or move it",IF(TODAY()-G138&gt;30,"Check price","")))</f>
      </c>
    </row>
    <row r="139" spans="1:14" x14ac:dyDescent="0.25">
      <c r="A139" s="10"/>
      <c r="B139" s="10"/>
      <c r="C139" s="10"/>
      <c r="D139" s="11"/>
      <c r="E139" s="12"/>
      <c r="F139" s="10"/>
      <c r="G139" s="11"/>
      <c r="H139" s="12"/>
      <c r="I139" s="10"/>
      <c r="J139" s="12"/>
      <c r="K139" s="11"/>
      <c r="L139" s="13">
        <f>IF(G139="","",IF(I139="Sold",IF(K139="","",K139-G139),TODAY()-G139))</f>
      </c>
      <c r="M139" s="14">
        <f>IF(J139="","",J139-E139)</f>
      </c>
      <c r="N139" s="13">
        <f>IF(OR(G139="",I139&lt;&gt;"Listed"),"",IF(TODAY()-G139&gt;60,"Reprice or move it",IF(TODAY()-G139&gt;30,"Check price","")))</f>
      </c>
    </row>
    <row r="140" spans="1:14" x14ac:dyDescent="0.25">
      <c r="A140" s="10"/>
      <c r="B140" s="10"/>
      <c r="C140" s="10"/>
      <c r="D140" s="11"/>
      <c r="E140" s="12"/>
      <c r="F140" s="10"/>
      <c r="G140" s="11"/>
      <c r="H140" s="12"/>
      <c r="I140" s="10"/>
      <c r="J140" s="12"/>
      <c r="K140" s="11"/>
      <c r="L140" s="13">
        <f>IF(G140="","",IF(I140="Sold",IF(K140="","",K140-G140),TODAY()-G140))</f>
      </c>
      <c r="M140" s="14">
        <f>IF(J140="","",J140-E140)</f>
      </c>
      <c r="N140" s="13">
        <f>IF(OR(G140="",I140&lt;&gt;"Listed"),"",IF(TODAY()-G140&gt;60,"Reprice or move it",IF(TODAY()-G140&gt;30,"Check price","")))</f>
      </c>
    </row>
    <row r="141" spans="1:14" x14ac:dyDescent="0.25">
      <c r="A141" s="10"/>
      <c r="B141" s="10"/>
      <c r="C141" s="10"/>
      <c r="D141" s="11"/>
      <c r="E141" s="12"/>
      <c r="F141" s="10"/>
      <c r="G141" s="11"/>
      <c r="H141" s="12"/>
      <c r="I141" s="10"/>
      <c r="J141" s="12"/>
      <c r="K141" s="11"/>
      <c r="L141" s="13">
        <f>IF(G141="","",IF(I141="Sold",IF(K141="","",K141-G141),TODAY()-G141))</f>
      </c>
      <c r="M141" s="14">
        <f>IF(J141="","",J141-E141)</f>
      </c>
      <c r="N141" s="13">
        <f>IF(OR(G141="",I141&lt;&gt;"Listed"),"",IF(TODAY()-G141&gt;60,"Reprice or move it",IF(TODAY()-G141&gt;30,"Check price","")))</f>
      </c>
    </row>
    <row r="142" spans="1:14" x14ac:dyDescent="0.25">
      <c r="A142" s="10"/>
      <c r="B142" s="10"/>
      <c r="C142" s="10"/>
      <c r="D142" s="11"/>
      <c r="E142" s="12"/>
      <c r="F142" s="10"/>
      <c r="G142" s="11"/>
      <c r="H142" s="12"/>
      <c r="I142" s="10"/>
      <c r="J142" s="12"/>
      <c r="K142" s="11"/>
      <c r="L142" s="13">
        <f>IF(G142="","",IF(I142="Sold",IF(K142="","",K142-G142),TODAY()-G142))</f>
      </c>
      <c r="M142" s="14">
        <f>IF(J142="","",J142-E142)</f>
      </c>
      <c r="N142" s="13">
        <f>IF(OR(G142="",I142&lt;&gt;"Listed"),"",IF(TODAY()-G142&gt;60,"Reprice or move it",IF(TODAY()-G142&gt;30,"Check price","")))</f>
      </c>
    </row>
    <row r="143" spans="1:14" x14ac:dyDescent="0.25">
      <c r="A143" s="10"/>
      <c r="B143" s="10"/>
      <c r="C143" s="10"/>
      <c r="D143" s="11"/>
      <c r="E143" s="12"/>
      <c r="F143" s="10"/>
      <c r="G143" s="11"/>
      <c r="H143" s="12"/>
      <c r="I143" s="10"/>
      <c r="J143" s="12"/>
      <c r="K143" s="11"/>
      <c r="L143" s="13">
        <f>IF(G143="","",IF(I143="Sold",IF(K143="","",K143-G143),TODAY()-G143))</f>
      </c>
      <c r="M143" s="14">
        <f>IF(J143="","",J143-E143)</f>
      </c>
      <c r="N143" s="13">
        <f>IF(OR(G143="",I143&lt;&gt;"Listed"),"",IF(TODAY()-G143&gt;60,"Reprice or move it",IF(TODAY()-G143&gt;30,"Check price","")))</f>
      </c>
    </row>
    <row r="144" spans="1:14" x14ac:dyDescent="0.25">
      <c r="A144" s="10"/>
      <c r="B144" s="10"/>
      <c r="C144" s="10"/>
      <c r="D144" s="11"/>
      <c r="E144" s="12"/>
      <c r="F144" s="10"/>
      <c r="G144" s="11"/>
      <c r="H144" s="12"/>
      <c r="I144" s="10"/>
      <c r="J144" s="12"/>
      <c r="K144" s="11"/>
      <c r="L144" s="13">
        <f>IF(G144="","",IF(I144="Sold",IF(K144="","",K144-G144),TODAY()-G144))</f>
      </c>
      <c r="M144" s="14">
        <f>IF(J144="","",J144-E144)</f>
      </c>
      <c r="N144" s="13">
        <f>IF(OR(G144="",I144&lt;&gt;"Listed"),"",IF(TODAY()-G144&gt;60,"Reprice or move it",IF(TODAY()-G144&gt;30,"Check price","")))</f>
      </c>
    </row>
    <row r="145" spans="1:14" x14ac:dyDescent="0.25">
      <c r="A145" s="10"/>
      <c r="B145" s="10"/>
      <c r="C145" s="10"/>
      <c r="D145" s="11"/>
      <c r="E145" s="12"/>
      <c r="F145" s="10"/>
      <c r="G145" s="11"/>
      <c r="H145" s="12"/>
      <c r="I145" s="10"/>
      <c r="J145" s="12"/>
      <c r="K145" s="11"/>
      <c r="L145" s="13">
        <f>IF(G145="","",IF(I145="Sold",IF(K145="","",K145-G145),TODAY()-G145))</f>
      </c>
      <c r="M145" s="14">
        <f>IF(J145="","",J145-E145)</f>
      </c>
      <c r="N145" s="13">
        <f>IF(OR(G145="",I145&lt;&gt;"Listed"),"",IF(TODAY()-G145&gt;60,"Reprice or move it",IF(TODAY()-G145&gt;30,"Check price","")))</f>
      </c>
    </row>
    <row r="146" spans="1:14" x14ac:dyDescent="0.25">
      <c r="A146" s="10"/>
      <c r="B146" s="10"/>
      <c r="C146" s="10"/>
      <c r="D146" s="11"/>
      <c r="E146" s="12"/>
      <c r="F146" s="10"/>
      <c r="G146" s="11"/>
      <c r="H146" s="12"/>
      <c r="I146" s="10"/>
      <c r="J146" s="12"/>
      <c r="K146" s="11"/>
      <c r="L146" s="13">
        <f>IF(G146="","",IF(I146="Sold",IF(K146="","",K146-G146),TODAY()-G146))</f>
      </c>
      <c r="M146" s="14">
        <f>IF(J146="","",J146-E146)</f>
      </c>
      <c r="N146" s="13">
        <f>IF(OR(G146="",I146&lt;&gt;"Listed"),"",IF(TODAY()-G146&gt;60,"Reprice or move it",IF(TODAY()-G146&gt;30,"Check price","")))</f>
      </c>
    </row>
    <row r="147" spans="1:14" x14ac:dyDescent="0.25">
      <c r="A147" s="10"/>
      <c r="B147" s="10"/>
      <c r="C147" s="10"/>
      <c r="D147" s="11"/>
      <c r="E147" s="12"/>
      <c r="F147" s="10"/>
      <c r="G147" s="11"/>
      <c r="H147" s="12"/>
      <c r="I147" s="10"/>
      <c r="J147" s="12"/>
      <c r="K147" s="11"/>
      <c r="L147" s="13">
        <f>IF(G147="","",IF(I147="Sold",IF(K147="","",K147-G147),TODAY()-G147))</f>
      </c>
      <c r="M147" s="14">
        <f>IF(J147="","",J147-E147)</f>
      </c>
      <c r="N147" s="13">
        <f>IF(OR(G147="",I147&lt;&gt;"Listed"),"",IF(TODAY()-G147&gt;60,"Reprice or move it",IF(TODAY()-G147&gt;30,"Check price","")))</f>
      </c>
    </row>
    <row r="148" spans="1:14" x14ac:dyDescent="0.25">
      <c r="A148" s="10"/>
      <c r="B148" s="10"/>
      <c r="C148" s="10"/>
      <c r="D148" s="11"/>
      <c r="E148" s="12"/>
      <c r="F148" s="10"/>
      <c r="G148" s="11"/>
      <c r="H148" s="12"/>
      <c r="I148" s="10"/>
      <c r="J148" s="12"/>
      <c r="K148" s="11"/>
      <c r="L148" s="13">
        <f>IF(G148="","",IF(I148="Sold",IF(K148="","",K148-G148),TODAY()-G148))</f>
      </c>
      <c r="M148" s="14">
        <f>IF(J148="","",J148-E148)</f>
      </c>
      <c r="N148" s="13">
        <f>IF(OR(G148="",I148&lt;&gt;"Listed"),"",IF(TODAY()-G148&gt;60,"Reprice or move it",IF(TODAY()-G148&gt;30,"Check price","")))</f>
      </c>
    </row>
    <row r="149" spans="1:14" x14ac:dyDescent="0.25">
      <c r="A149" s="10"/>
      <c r="B149" s="10"/>
      <c r="C149" s="10"/>
      <c r="D149" s="11"/>
      <c r="E149" s="12"/>
      <c r="F149" s="10"/>
      <c r="G149" s="11"/>
      <c r="H149" s="12"/>
      <c r="I149" s="10"/>
      <c r="J149" s="12"/>
      <c r="K149" s="11"/>
      <c r="L149" s="13">
        <f>IF(G149="","",IF(I149="Sold",IF(K149="","",K149-G149),TODAY()-G149))</f>
      </c>
      <c r="M149" s="14">
        <f>IF(J149="","",J149-E149)</f>
      </c>
      <c r="N149" s="13">
        <f>IF(OR(G149="",I149&lt;&gt;"Listed"),"",IF(TODAY()-G149&gt;60,"Reprice or move it",IF(TODAY()-G149&gt;30,"Check price","")))</f>
      </c>
    </row>
    <row r="150" spans="1:14" x14ac:dyDescent="0.25">
      <c r="A150" s="10"/>
      <c r="B150" s="10"/>
      <c r="C150" s="10"/>
      <c r="D150" s="11"/>
      <c r="E150" s="12"/>
      <c r="F150" s="10"/>
      <c r="G150" s="11"/>
      <c r="H150" s="12"/>
      <c r="I150" s="10"/>
      <c r="J150" s="12"/>
      <c r="K150" s="11"/>
      <c r="L150" s="13">
        <f>IF(G150="","",IF(I150="Sold",IF(K150="","",K150-G150),TODAY()-G150))</f>
      </c>
      <c r="M150" s="14">
        <f>IF(J150="","",J150-E150)</f>
      </c>
      <c r="N150" s="13">
        <f>IF(OR(G150="",I150&lt;&gt;"Listed"),"",IF(TODAY()-G150&gt;60,"Reprice or move it",IF(TODAY()-G150&gt;30,"Check price","")))</f>
      </c>
    </row>
    <row r="151" spans="1:14" x14ac:dyDescent="0.25">
      <c r="A151" s="10"/>
      <c r="B151" s="10"/>
      <c r="C151" s="10"/>
      <c r="D151" s="11"/>
      <c r="E151" s="12"/>
      <c r="F151" s="10"/>
      <c r="G151" s="11"/>
      <c r="H151" s="12"/>
      <c r="I151" s="10"/>
      <c r="J151" s="12"/>
      <c r="K151" s="11"/>
      <c r="L151" s="13">
        <f>IF(G151="","",IF(I151="Sold",IF(K151="","",K151-G151),TODAY()-G151))</f>
      </c>
      <c r="M151" s="14">
        <f>IF(J151="","",J151-E151)</f>
      </c>
      <c r="N151" s="13">
        <f>IF(OR(G151="",I151&lt;&gt;"Listed"),"",IF(TODAY()-G151&gt;60,"Reprice or move it",IF(TODAY()-G151&gt;30,"Check price","")))</f>
      </c>
    </row>
    <row r="152" spans="1:14" x14ac:dyDescent="0.25">
      <c r="A152" s="10"/>
      <c r="B152" s="10"/>
      <c r="C152" s="10"/>
      <c r="D152" s="11"/>
      <c r="E152" s="12"/>
      <c r="F152" s="10"/>
      <c r="G152" s="11"/>
      <c r="H152" s="12"/>
      <c r="I152" s="10"/>
      <c r="J152" s="12"/>
      <c r="K152" s="11"/>
      <c r="L152" s="13">
        <f>IF(G152="","",IF(I152="Sold",IF(K152="","",K152-G152),TODAY()-G152))</f>
      </c>
      <c r="M152" s="14">
        <f>IF(J152="","",J152-E152)</f>
      </c>
      <c r="N152" s="13">
        <f>IF(OR(G152="",I152&lt;&gt;"Listed"),"",IF(TODAY()-G152&gt;60,"Reprice or move it",IF(TODAY()-G152&gt;30,"Check price","")))</f>
      </c>
    </row>
    <row r="153" spans="1:14" x14ac:dyDescent="0.25">
      <c r="A153" s="10"/>
      <c r="B153" s="10"/>
      <c r="C153" s="10"/>
      <c r="D153" s="11"/>
      <c r="E153" s="12"/>
      <c r="F153" s="10"/>
      <c r="G153" s="11"/>
      <c r="H153" s="12"/>
      <c r="I153" s="10"/>
      <c r="J153" s="12"/>
      <c r="K153" s="11"/>
      <c r="L153" s="13">
        <f>IF(G153="","",IF(I153="Sold",IF(K153="","",K153-G153),TODAY()-G153))</f>
      </c>
      <c r="M153" s="14">
        <f>IF(J153="","",J153-E153)</f>
      </c>
      <c r="N153" s="13">
        <f>IF(OR(G153="",I153&lt;&gt;"Listed"),"",IF(TODAY()-G153&gt;60,"Reprice or move it",IF(TODAY()-G153&gt;30,"Check price","")))</f>
      </c>
    </row>
    <row r="154" spans="1:14" x14ac:dyDescent="0.25">
      <c r="A154" s="10"/>
      <c r="B154" s="10"/>
      <c r="C154" s="10"/>
      <c r="D154" s="11"/>
      <c r="E154" s="12"/>
      <c r="F154" s="10"/>
      <c r="G154" s="11"/>
      <c r="H154" s="12"/>
      <c r="I154" s="10"/>
      <c r="J154" s="12"/>
      <c r="K154" s="11"/>
      <c r="L154" s="13">
        <f>IF(G154="","",IF(I154="Sold",IF(K154="","",K154-G154),TODAY()-G154))</f>
      </c>
      <c r="M154" s="14">
        <f>IF(J154="","",J154-E154)</f>
      </c>
      <c r="N154" s="13">
        <f>IF(OR(G154="",I154&lt;&gt;"Listed"),"",IF(TODAY()-G154&gt;60,"Reprice or move it",IF(TODAY()-G154&gt;30,"Check price","")))</f>
      </c>
    </row>
    <row r="155" spans="1:14" x14ac:dyDescent="0.25">
      <c r="A155" s="10"/>
      <c r="B155" s="10"/>
      <c r="C155" s="10"/>
      <c r="D155" s="11"/>
      <c r="E155" s="12"/>
      <c r="F155" s="10"/>
      <c r="G155" s="11"/>
      <c r="H155" s="12"/>
      <c r="I155" s="10"/>
      <c r="J155" s="12"/>
      <c r="K155" s="11"/>
      <c r="L155" s="13">
        <f>IF(G155="","",IF(I155="Sold",IF(K155="","",K155-G155),TODAY()-G155))</f>
      </c>
      <c r="M155" s="14">
        <f>IF(J155="","",J155-E155)</f>
      </c>
      <c r="N155" s="13">
        <f>IF(OR(G155="",I155&lt;&gt;"Listed"),"",IF(TODAY()-G155&gt;60,"Reprice or move it",IF(TODAY()-G155&gt;30,"Check price","")))</f>
      </c>
    </row>
    <row r="156" spans="1:14" x14ac:dyDescent="0.25">
      <c r="A156" s="10"/>
      <c r="B156" s="10"/>
      <c r="C156" s="10"/>
      <c r="D156" s="11"/>
      <c r="E156" s="12"/>
      <c r="F156" s="10"/>
      <c r="G156" s="11"/>
      <c r="H156" s="12"/>
      <c r="I156" s="10"/>
      <c r="J156" s="12"/>
      <c r="K156" s="11"/>
      <c r="L156" s="13">
        <f>IF(G156="","",IF(I156="Sold",IF(K156="","",K156-G156),TODAY()-G156))</f>
      </c>
      <c r="M156" s="14">
        <f>IF(J156="","",J156-E156)</f>
      </c>
      <c r="N156" s="13">
        <f>IF(OR(G156="",I156&lt;&gt;"Listed"),"",IF(TODAY()-G156&gt;60,"Reprice or move it",IF(TODAY()-G156&gt;30,"Check price","")))</f>
      </c>
    </row>
    <row r="157" spans="1:14" x14ac:dyDescent="0.25">
      <c r="A157" s="10"/>
      <c r="B157" s="10"/>
      <c r="C157" s="10"/>
      <c r="D157" s="11"/>
      <c r="E157" s="12"/>
      <c r="F157" s="10"/>
      <c r="G157" s="11"/>
      <c r="H157" s="12"/>
      <c r="I157" s="10"/>
      <c r="J157" s="12"/>
      <c r="K157" s="11"/>
      <c r="L157" s="13">
        <f>IF(G157="","",IF(I157="Sold",IF(K157="","",K157-G157),TODAY()-G157))</f>
      </c>
      <c r="M157" s="14">
        <f>IF(J157="","",J157-E157)</f>
      </c>
      <c r="N157" s="13">
        <f>IF(OR(G157="",I157&lt;&gt;"Listed"),"",IF(TODAY()-G157&gt;60,"Reprice or move it",IF(TODAY()-G157&gt;30,"Check price","")))</f>
      </c>
    </row>
    <row r="158" spans="1:14" x14ac:dyDescent="0.25">
      <c r="A158" s="10"/>
      <c r="B158" s="10"/>
      <c r="C158" s="10"/>
      <c r="D158" s="11"/>
      <c r="E158" s="12"/>
      <c r="F158" s="10"/>
      <c r="G158" s="11"/>
      <c r="H158" s="12"/>
      <c r="I158" s="10"/>
      <c r="J158" s="12"/>
      <c r="K158" s="11"/>
      <c r="L158" s="13">
        <f>IF(G158="","",IF(I158="Sold",IF(K158="","",K158-G158),TODAY()-G158))</f>
      </c>
      <c r="M158" s="14">
        <f>IF(J158="","",J158-E158)</f>
      </c>
      <c r="N158" s="13">
        <f>IF(OR(G158="",I158&lt;&gt;"Listed"),"",IF(TODAY()-G158&gt;60,"Reprice or move it",IF(TODAY()-G158&gt;30,"Check price","")))</f>
      </c>
    </row>
    <row r="159" spans="1:14" x14ac:dyDescent="0.25">
      <c r="A159" s="10"/>
      <c r="B159" s="10"/>
      <c r="C159" s="10"/>
      <c r="D159" s="11"/>
      <c r="E159" s="12"/>
      <c r="F159" s="10"/>
      <c r="G159" s="11"/>
      <c r="H159" s="12"/>
      <c r="I159" s="10"/>
      <c r="J159" s="12"/>
      <c r="K159" s="11"/>
      <c r="L159" s="13">
        <f>IF(G159="","",IF(I159="Sold",IF(K159="","",K159-G159),TODAY()-G159))</f>
      </c>
      <c r="M159" s="14">
        <f>IF(J159="","",J159-E159)</f>
      </c>
      <c r="N159" s="13">
        <f>IF(OR(G159="",I159&lt;&gt;"Listed"),"",IF(TODAY()-G159&gt;60,"Reprice or move it",IF(TODAY()-G159&gt;30,"Check price","")))</f>
      </c>
    </row>
    <row r="160" spans="1:14" x14ac:dyDescent="0.25">
      <c r="A160" s="10"/>
      <c r="B160" s="10"/>
      <c r="C160" s="10"/>
      <c r="D160" s="11"/>
      <c r="E160" s="12"/>
      <c r="F160" s="10"/>
      <c r="G160" s="11"/>
      <c r="H160" s="12"/>
      <c r="I160" s="10"/>
      <c r="J160" s="12"/>
      <c r="K160" s="11"/>
      <c r="L160" s="13">
        <f>IF(G160="","",IF(I160="Sold",IF(K160="","",K160-G160),TODAY()-G160))</f>
      </c>
      <c r="M160" s="14">
        <f>IF(J160="","",J160-E160)</f>
      </c>
      <c r="N160" s="13">
        <f>IF(OR(G160="",I160&lt;&gt;"Listed"),"",IF(TODAY()-G160&gt;60,"Reprice or move it",IF(TODAY()-G160&gt;30,"Check price","")))</f>
      </c>
    </row>
    <row r="161" spans="1:14" x14ac:dyDescent="0.25">
      <c r="A161" s="10"/>
      <c r="B161" s="10"/>
      <c r="C161" s="10"/>
      <c r="D161" s="11"/>
      <c r="E161" s="12"/>
      <c r="F161" s="10"/>
      <c r="G161" s="11"/>
      <c r="H161" s="12"/>
      <c r="I161" s="10"/>
      <c r="J161" s="12"/>
      <c r="K161" s="11"/>
      <c r="L161" s="13">
        <f>IF(G161="","",IF(I161="Sold",IF(K161="","",K161-G161),TODAY()-G161))</f>
      </c>
      <c r="M161" s="14">
        <f>IF(J161="","",J161-E161)</f>
      </c>
      <c r="N161" s="13">
        <f>IF(OR(G161="",I161&lt;&gt;"Listed"),"",IF(TODAY()-G161&gt;60,"Reprice or move it",IF(TODAY()-G161&gt;30,"Check price","")))</f>
      </c>
    </row>
    <row r="162" spans="1:14" x14ac:dyDescent="0.25">
      <c r="A162" s="10"/>
      <c r="B162" s="10"/>
      <c r="C162" s="10"/>
      <c r="D162" s="11"/>
      <c r="E162" s="12"/>
      <c r="F162" s="10"/>
      <c r="G162" s="11"/>
      <c r="H162" s="12"/>
      <c r="I162" s="10"/>
      <c r="J162" s="12"/>
      <c r="K162" s="11"/>
      <c r="L162" s="13">
        <f>IF(G162="","",IF(I162="Sold",IF(K162="","",K162-G162),TODAY()-G162))</f>
      </c>
      <c r="M162" s="14">
        <f>IF(J162="","",J162-E162)</f>
      </c>
      <c r="N162" s="13">
        <f>IF(OR(G162="",I162&lt;&gt;"Listed"),"",IF(TODAY()-G162&gt;60,"Reprice or move it",IF(TODAY()-G162&gt;30,"Check price","")))</f>
      </c>
    </row>
    <row r="163" spans="1:14" x14ac:dyDescent="0.25">
      <c r="A163" s="10"/>
      <c r="B163" s="10"/>
      <c r="C163" s="10"/>
      <c r="D163" s="11"/>
      <c r="E163" s="12"/>
      <c r="F163" s="10"/>
      <c r="G163" s="11"/>
      <c r="H163" s="12"/>
      <c r="I163" s="10"/>
      <c r="J163" s="12"/>
      <c r="K163" s="11"/>
      <c r="L163" s="13">
        <f>IF(G163="","",IF(I163="Sold",IF(K163="","",K163-G163),TODAY()-G163))</f>
      </c>
      <c r="M163" s="14">
        <f>IF(J163="","",J163-E163)</f>
      </c>
      <c r="N163" s="13">
        <f>IF(OR(G163="",I163&lt;&gt;"Listed"),"",IF(TODAY()-G163&gt;60,"Reprice or move it",IF(TODAY()-G163&gt;30,"Check price","")))</f>
      </c>
    </row>
    <row r="164" spans="1:14" x14ac:dyDescent="0.25">
      <c r="A164" s="10"/>
      <c r="B164" s="10"/>
      <c r="C164" s="10"/>
      <c r="D164" s="11"/>
      <c r="E164" s="12"/>
      <c r="F164" s="10"/>
      <c r="G164" s="11"/>
      <c r="H164" s="12"/>
      <c r="I164" s="10"/>
      <c r="J164" s="12"/>
      <c r="K164" s="11"/>
      <c r="L164" s="13">
        <f>IF(G164="","",IF(I164="Sold",IF(K164="","",K164-G164),TODAY()-G164))</f>
      </c>
      <c r="M164" s="14">
        <f>IF(J164="","",J164-E164)</f>
      </c>
      <c r="N164" s="13">
        <f>IF(OR(G164="",I164&lt;&gt;"Listed"),"",IF(TODAY()-G164&gt;60,"Reprice or move it",IF(TODAY()-G164&gt;30,"Check price","")))</f>
      </c>
    </row>
    <row r="165" spans="1:14" x14ac:dyDescent="0.25">
      <c r="A165" s="10"/>
      <c r="B165" s="10"/>
      <c r="C165" s="10"/>
      <c r="D165" s="11"/>
      <c r="E165" s="12"/>
      <c r="F165" s="10"/>
      <c r="G165" s="11"/>
      <c r="H165" s="12"/>
      <c r="I165" s="10"/>
      <c r="J165" s="12"/>
      <c r="K165" s="11"/>
      <c r="L165" s="13">
        <f>IF(G165="","",IF(I165="Sold",IF(K165="","",K165-G165),TODAY()-G165))</f>
      </c>
      <c r="M165" s="14">
        <f>IF(J165="","",J165-E165)</f>
      </c>
      <c r="N165" s="13">
        <f>IF(OR(G165="",I165&lt;&gt;"Listed"),"",IF(TODAY()-G165&gt;60,"Reprice or move it",IF(TODAY()-G165&gt;30,"Check price","")))</f>
      </c>
    </row>
    <row r="166" spans="1:14" x14ac:dyDescent="0.25">
      <c r="A166" s="10"/>
      <c r="B166" s="10"/>
      <c r="C166" s="10"/>
      <c r="D166" s="11"/>
      <c r="E166" s="12"/>
      <c r="F166" s="10"/>
      <c r="G166" s="11"/>
      <c r="H166" s="12"/>
      <c r="I166" s="10"/>
      <c r="J166" s="12"/>
      <c r="K166" s="11"/>
      <c r="L166" s="13">
        <f>IF(G166="","",IF(I166="Sold",IF(K166="","",K166-G166),TODAY()-G166))</f>
      </c>
      <c r="M166" s="14">
        <f>IF(J166="","",J166-E166)</f>
      </c>
      <c r="N166" s="13">
        <f>IF(OR(G166="",I166&lt;&gt;"Listed"),"",IF(TODAY()-G166&gt;60,"Reprice or move it",IF(TODAY()-G166&gt;30,"Check price","")))</f>
      </c>
    </row>
    <row r="167" spans="1:14" x14ac:dyDescent="0.25">
      <c r="A167" s="10"/>
      <c r="B167" s="10"/>
      <c r="C167" s="10"/>
      <c r="D167" s="11"/>
      <c r="E167" s="12"/>
      <c r="F167" s="10"/>
      <c r="G167" s="11"/>
      <c r="H167" s="12"/>
      <c r="I167" s="10"/>
      <c r="J167" s="12"/>
      <c r="K167" s="11"/>
      <c r="L167" s="13">
        <f>IF(G167="","",IF(I167="Sold",IF(K167="","",K167-G167),TODAY()-G167))</f>
      </c>
      <c r="M167" s="14">
        <f>IF(J167="","",J167-E167)</f>
      </c>
      <c r="N167" s="13">
        <f>IF(OR(G167="",I167&lt;&gt;"Listed"),"",IF(TODAY()-G167&gt;60,"Reprice or move it",IF(TODAY()-G167&gt;30,"Check price","")))</f>
      </c>
    </row>
    <row r="168" spans="1:14" x14ac:dyDescent="0.25">
      <c r="A168" s="10"/>
      <c r="B168" s="10"/>
      <c r="C168" s="10"/>
      <c r="D168" s="11"/>
      <c r="E168" s="12"/>
      <c r="F168" s="10"/>
      <c r="G168" s="11"/>
      <c r="H168" s="12"/>
      <c r="I168" s="10"/>
      <c r="J168" s="12"/>
      <c r="K168" s="11"/>
      <c r="L168" s="13">
        <f>IF(G168="","",IF(I168="Sold",IF(K168="","",K168-G168),TODAY()-G168))</f>
      </c>
      <c r="M168" s="14">
        <f>IF(J168="","",J168-E168)</f>
      </c>
      <c r="N168" s="13">
        <f>IF(OR(G168="",I168&lt;&gt;"Listed"),"",IF(TODAY()-G168&gt;60,"Reprice or move it",IF(TODAY()-G168&gt;30,"Check price","")))</f>
      </c>
    </row>
    <row r="169" spans="1:14" x14ac:dyDescent="0.25">
      <c r="A169" s="10"/>
      <c r="B169" s="10"/>
      <c r="C169" s="10"/>
      <c r="D169" s="11"/>
      <c r="E169" s="12"/>
      <c r="F169" s="10"/>
      <c r="G169" s="11"/>
      <c r="H169" s="12"/>
      <c r="I169" s="10"/>
      <c r="J169" s="12"/>
      <c r="K169" s="11"/>
      <c r="L169" s="13">
        <f>IF(G169="","",IF(I169="Sold",IF(K169="","",K169-G169),TODAY()-G169))</f>
      </c>
      <c r="M169" s="14">
        <f>IF(J169="","",J169-E169)</f>
      </c>
      <c r="N169" s="13">
        <f>IF(OR(G169="",I169&lt;&gt;"Listed"),"",IF(TODAY()-G169&gt;60,"Reprice or move it",IF(TODAY()-G169&gt;30,"Check price","")))</f>
      </c>
    </row>
    <row r="170" spans="1:14" x14ac:dyDescent="0.25">
      <c r="A170" s="10"/>
      <c r="B170" s="10"/>
      <c r="C170" s="10"/>
      <c r="D170" s="11"/>
      <c r="E170" s="12"/>
      <c r="F170" s="10"/>
      <c r="G170" s="11"/>
      <c r="H170" s="12"/>
      <c r="I170" s="10"/>
      <c r="J170" s="12"/>
      <c r="K170" s="11"/>
      <c r="L170" s="13">
        <f>IF(G170="","",IF(I170="Sold",IF(K170="","",K170-G170),TODAY()-G170))</f>
      </c>
      <c r="M170" s="14">
        <f>IF(J170="","",J170-E170)</f>
      </c>
      <c r="N170" s="13">
        <f>IF(OR(G170="",I170&lt;&gt;"Listed"),"",IF(TODAY()-G170&gt;60,"Reprice or move it",IF(TODAY()-G170&gt;30,"Check price","")))</f>
      </c>
    </row>
    <row r="171" spans="1:14" x14ac:dyDescent="0.25">
      <c r="A171" s="10"/>
      <c r="B171" s="10"/>
      <c r="C171" s="10"/>
      <c r="D171" s="11"/>
      <c r="E171" s="12"/>
      <c r="F171" s="10"/>
      <c r="G171" s="11"/>
      <c r="H171" s="12"/>
      <c r="I171" s="10"/>
      <c r="J171" s="12"/>
      <c r="K171" s="11"/>
      <c r="L171" s="13">
        <f>IF(G171="","",IF(I171="Sold",IF(K171="","",K171-G171),TODAY()-G171))</f>
      </c>
      <c r="M171" s="14">
        <f>IF(J171="","",J171-E171)</f>
      </c>
      <c r="N171" s="13">
        <f>IF(OR(G171="",I171&lt;&gt;"Listed"),"",IF(TODAY()-G171&gt;60,"Reprice or move it",IF(TODAY()-G171&gt;30,"Check price","")))</f>
      </c>
    </row>
    <row r="172" spans="1:14" x14ac:dyDescent="0.25">
      <c r="A172" s="10"/>
      <c r="B172" s="10"/>
      <c r="C172" s="10"/>
      <c r="D172" s="11"/>
      <c r="E172" s="12"/>
      <c r="F172" s="10"/>
      <c r="G172" s="11"/>
      <c r="H172" s="12"/>
      <c r="I172" s="10"/>
      <c r="J172" s="12"/>
      <c r="K172" s="11"/>
      <c r="L172" s="13">
        <f>IF(G172="","",IF(I172="Sold",IF(K172="","",K172-G172),TODAY()-G172))</f>
      </c>
      <c r="M172" s="14">
        <f>IF(J172="","",J172-E172)</f>
      </c>
      <c r="N172" s="13">
        <f>IF(OR(G172="",I172&lt;&gt;"Listed"),"",IF(TODAY()-G172&gt;60,"Reprice or move it",IF(TODAY()-G172&gt;30,"Check price","")))</f>
      </c>
    </row>
    <row r="173" spans="1:14" x14ac:dyDescent="0.25">
      <c r="A173" s="10"/>
      <c r="B173" s="10"/>
      <c r="C173" s="10"/>
      <c r="D173" s="11"/>
      <c r="E173" s="12"/>
      <c r="F173" s="10"/>
      <c r="G173" s="11"/>
      <c r="H173" s="12"/>
      <c r="I173" s="10"/>
      <c r="J173" s="12"/>
      <c r="K173" s="11"/>
      <c r="L173" s="13">
        <f>IF(G173="","",IF(I173="Sold",IF(K173="","",K173-G173),TODAY()-G173))</f>
      </c>
      <c r="M173" s="14">
        <f>IF(J173="","",J173-E173)</f>
      </c>
      <c r="N173" s="13">
        <f>IF(OR(G173="",I173&lt;&gt;"Listed"),"",IF(TODAY()-G173&gt;60,"Reprice or move it",IF(TODAY()-G173&gt;30,"Check price","")))</f>
      </c>
    </row>
    <row r="174" spans="1:14" x14ac:dyDescent="0.25">
      <c r="A174" s="10"/>
      <c r="B174" s="10"/>
      <c r="C174" s="10"/>
      <c r="D174" s="11"/>
      <c r="E174" s="12"/>
      <c r="F174" s="10"/>
      <c r="G174" s="11"/>
      <c r="H174" s="12"/>
      <c r="I174" s="10"/>
      <c r="J174" s="12"/>
      <c r="K174" s="11"/>
      <c r="L174" s="13">
        <f>IF(G174="","",IF(I174="Sold",IF(K174="","",K174-G174),TODAY()-G174))</f>
      </c>
      <c r="M174" s="14">
        <f>IF(J174="","",J174-E174)</f>
      </c>
      <c r="N174" s="13">
        <f>IF(OR(G174="",I174&lt;&gt;"Listed"),"",IF(TODAY()-G174&gt;60,"Reprice or move it",IF(TODAY()-G174&gt;30,"Check price","")))</f>
      </c>
    </row>
    <row r="175" spans="1:14" x14ac:dyDescent="0.25">
      <c r="A175" s="10"/>
      <c r="B175" s="10"/>
      <c r="C175" s="10"/>
      <c r="D175" s="11"/>
      <c r="E175" s="12"/>
      <c r="F175" s="10"/>
      <c r="G175" s="11"/>
      <c r="H175" s="12"/>
      <c r="I175" s="10"/>
      <c r="J175" s="12"/>
      <c r="K175" s="11"/>
      <c r="L175" s="13">
        <f>IF(G175="","",IF(I175="Sold",IF(K175="","",K175-G175),TODAY()-G175))</f>
      </c>
      <c r="M175" s="14">
        <f>IF(J175="","",J175-E175)</f>
      </c>
      <c r="N175" s="13">
        <f>IF(OR(G175="",I175&lt;&gt;"Listed"),"",IF(TODAY()-G175&gt;60,"Reprice or move it",IF(TODAY()-G175&gt;30,"Check price","")))</f>
      </c>
    </row>
    <row r="176" spans="1:14" x14ac:dyDescent="0.25">
      <c r="A176" s="10"/>
      <c r="B176" s="10"/>
      <c r="C176" s="10"/>
      <c r="D176" s="11"/>
      <c r="E176" s="12"/>
      <c r="F176" s="10"/>
      <c r="G176" s="11"/>
      <c r="H176" s="12"/>
      <c r="I176" s="10"/>
      <c r="J176" s="12"/>
      <c r="K176" s="11"/>
      <c r="L176" s="13">
        <f>IF(G176="","",IF(I176="Sold",IF(K176="","",K176-G176),TODAY()-G176))</f>
      </c>
      <c r="M176" s="14">
        <f>IF(J176="","",J176-E176)</f>
      </c>
      <c r="N176" s="13">
        <f>IF(OR(G176="",I176&lt;&gt;"Listed"),"",IF(TODAY()-G176&gt;60,"Reprice or move it",IF(TODAY()-G176&gt;30,"Check price","")))</f>
      </c>
    </row>
    <row r="177" spans="1:14" x14ac:dyDescent="0.25">
      <c r="A177" s="10"/>
      <c r="B177" s="10"/>
      <c r="C177" s="10"/>
      <c r="D177" s="11"/>
      <c r="E177" s="12"/>
      <c r="F177" s="10"/>
      <c r="G177" s="11"/>
      <c r="H177" s="12"/>
      <c r="I177" s="10"/>
      <c r="J177" s="12"/>
      <c r="K177" s="11"/>
      <c r="L177" s="13">
        <f>IF(G177="","",IF(I177="Sold",IF(K177="","",K177-G177),TODAY()-G177))</f>
      </c>
      <c r="M177" s="14">
        <f>IF(J177="","",J177-E177)</f>
      </c>
      <c r="N177" s="13">
        <f>IF(OR(G177="",I177&lt;&gt;"Listed"),"",IF(TODAY()-G177&gt;60,"Reprice or move it",IF(TODAY()-G177&gt;30,"Check price","")))</f>
      </c>
    </row>
    <row r="178" spans="1:14" x14ac:dyDescent="0.25">
      <c r="A178" s="10"/>
      <c r="B178" s="10"/>
      <c r="C178" s="10"/>
      <c r="D178" s="11"/>
      <c r="E178" s="12"/>
      <c r="F178" s="10"/>
      <c r="G178" s="11"/>
      <c r="H178" s="12"/>
      <c r="I178" s="10"/>
      <c r="J178" s="12"/>
      <c r="K178" s="11"/>
      <c r="L178" s="13">
        <f>IF(G178="","",IF(I178="Sold",IF(K178="","",K178-G178),TODAY()-G178))</f>
      </c>
      <c r="M178" s="14">
        <f>IF(J178="","",J178-E178)</f>
      </c>
      <c r="N178" s="13">
        <f>IF(OR(G178="",I178&lt;&gt;"Listed"),"",IF(TODAY()-G178&gt;60,"Reprice or move it",IF(TODAY()-G178&gt;30,"Check price","")))</f>
      </c>
    </row>
    <row r="179" spans="1:14" x14ac:dyDescent="0.25">
      <c r="A179" s="10"/>
      <c r="B179" s="10"/>
      <c r="C179" s="10"/>
      <c r="D179" s="11"/>
      <c r="E179" s="12"/>
      <c r="F179" s="10"/>
      <c r="G179" s="11"/>
      <c r="H179" s="12"/>
      <c r="I179" s="10"/>
      <c r="J179" s="12"/>
      <c r="K179" s="11"/>
      <c r="L179" s="13">
        <f>IF(G179="","",IF(I179="Sold",IF(K179="","",K179-G179),TODAY()-G179))</f>
      </c>
      <c r="M179" s="14">
        <f>IF(J179="","",J179-E179)</f>
      </c>
      <c r="N179" s="13">
        <f>IF(OR(G179="",I179&lt;&gt;"Listed"),"",IF(TODAY()-G179&gt;60,"Reprice or move it",IF(TODAY()-G179&gt;30,"Check price","")))</f>
      </c>
    </row>
    <row r="180" spans="1:14" x14ac:dyDescent="0.25">
      <c r="A180" s="10"/>
      <c r="B180" s="10"/>
      <c r="C180" s="10"/>
      <c r="D180" s="11"/>
      <c r="E180" s="12"/>
      <c r="F180" s="10"/>
      <c r="G180" s="11"/>
      <c r="H180" s="12"/>
      <c r="I180" s="10"/>
      <c r="J180" s="12"/>
      <c r="K180" s="11"/>
      <c r="L180" s="13">
        <f>IF(G180="","",IF(I180="Sold",IF(K180="","",K180-G180),TODAY()-G180))</f>
      </c>
      <c r="M180" s="14">
        <f>IF(J180="","",J180-E180)</f>
      </c>
      <c r="N180" s="13">
        <f>IF(OR(G180="",I180&lt;&gt;"Listed"),"",IF(TODAY()-G180&gt;60,"Reprice or move it",IF(TODAY()-G180&gt;30,"Check price","")))</f>
      </c>
    </row>
    <row r="181" spans="1:14" x14ac:dyDescent="0.25">
      <c r="A181" s="10"/>
      <c r="B181" s="10"/>
      <c r="C181" s="10"/>
      <c r="D181" s="11"/>
      <c r="E181" s="12"/>
      <c r="F181" s="10"/>
      <c r="G181" s="11"/>
      <c r="H181" s="12"/>
      <c r="I181" s="10"/>
      <c r="J181" s="12"/>
      <c r="K181" s="11"/>
      <c r="L181" s="13">
        <f>IF(G181="","",IF(I181="Sold",IF(K181="","",K181-G181),TODAY()-G181))</f>
      </c>
      <c r="M181" s="14">
        <f>IF(J181="","",J181-E181)</f>
      </c>
      <c r="N181" s="13">
        <f>IF(OR(G181="",I181&lt;&gt;"Listed"),"",IF(TODAY()-G181&gt;60,"Reprice or move it",IF(TODAY()-G181&gt;30,"Check price","")))</f>
      </c>
    </row>
    <row r="182" spans="1:14" x14ac:dyDescent="0.25">
      <c r="A182" s="10"/>
      <c r="B182" s="10"/>
      <c r="C182" s="10"/>
      <c r="D182" s="11"/>
      <c r="E182" s="12"/>
      <c r="F182" s="10"/>
      <c r="G182" s="11"/>
      <c r="H182" s="12"/>
      <c r="I182" s="10"/>
      <c r="J182" s="12"/>
      <c r="K182" s="11"/>
      <c r="L182" s="13">
        <f>IF(G182="","",IF(I182="Sold",IF(K182="","",K182-G182),TODAY()-G182))</f>
      </c>
      <c r="M182" s="14">
        <f>IF(J182="","",J182-E182)</f>
      </c>
      <c r="N182" s="13">
        <f>IF(OR(G182="",I182&lt;&gt;"Listed"),"",IF(TODAY()-G182&gt;60,"Reprice or move it",IF(TODAY()-G182&gt;30,"Check price","")))</f>
      </c>
    </row>
    <row r="183" spans="1:14" x14ac:dyDescent="0.25">
      <c r="A183" s="10"/>
      <c r="B183" s="10"/>
      <c r="C183" s="10"/>
      <c r="D183" s="11"/>
      <c r="E183" s="12"/>
      <c r="F183" s="10"/>
      <c r="G183" s="11"/>
      <c r="H183" s="12"/>
      <c r="I183" s="10"/>
      <c r="J183" s="12"/>
      <c r="K183" s="11"/>
      <c r="L183" s="13">
        <f>IF(G183="","",IF(I183="Sold",IF(K183="","",K183-G183),TODAY()-G183))</f>
      </c>
      <c r="M183" s="14">
        <f>IF(J183="","",J183-E183)</f>
      </c>
      <c r="N183" s="13">
        <f>IF(OR(G183="",I183&lt;&gt;"Listed"),"",IF(TODAY()-G183&gt;60,"Reprice or move it",IF(TODAY()-G183&gt;30,"Check price","")))</f>
      </c>
    </row>
    <row r="184" spans="1:14" x14ac:dyDescent="0.25">
      <c r="A184" s="10"/>
      <c r="B184" s="10"/>
      <c r="C184" s="10"/>
      <c r="D184" s="11"/>
      <c r="E184" s="12"/>
      <c r="F184" s="10"/>
      <c r="G184" s="11"/>
      <c r="H184" s="12"/>
      <c r="I184" s="10"/>
      <c r="J184" s="12"/>
      <c r="K184" s="11"/>
      <c r="L184" s="13">
        <f>IF(G184="","",IF(I184="Sold",IF(K184="","",K184-G184),TODAY()-G184))</f>
      </c>
      <c r="M184" s="14">
        <f>IF(J184="","",J184-E184)</f>
      </c>
      <c r="N184" s="13">
        <f>IF(OR(G184="",I184&lt;&gt;"Listed"),"",IF(TODAY()-G184&gt;60,"Reprice or move it",IF(TODAY()-G184&gt;30,"Check price","")))</f>
      </c>
    </row>
    <row r="185" spans="1:14" x14ac:dyDescent="0.25">
      <c r="A185" s="10"/>
      <c r="B185" s="10"/>
      <c r="C185" s="10"/>
      <c r="D185" s="11"/>
      <c r="E185" s="12"/>
      <c r="F185" s="10"/>
      <c r="G185" s="11"/>
      <c r="H185" s="12"/>
      <c r="I185" s="10"/>
      <c r="J185" s="12"/>
      <c r="K185" s="11"/>
      <c r="L185" s="13">
        <f>IF(G185="","",IF(I185="Sold",IF(K185="","",K185-G185),TODAY()-G185))</f>
      </c>
      <c r="M185" s="14">
        <f>IF(J185="","",J185-E185)</f>
      </c>
      <c r="N185" s="13">
        <f>IF(OR(G185="",I185&lt;&gt;"Listed"),"",IF(TODAY()-G185&gt;60,"Reprice or move it",IF(TODAY()-G185&gt;30,"Check price","")))</f>
      </c>
    </row>
    <row r="186" spans="1:14" x14ac:dyDescent="0.25">
      <c r="A186" s="10"/>
      <c r="B186" s="10"/>
      <c r="C186" s="10"/>
      <c r="D186" s="11"/>
      <c r="E186" s="12"/>
      <c r="F186" s="10"/>
      <c r="G186" s="11"/>
      <c r="H186" s="12"/>
      <c r="I186" s="10"/>
      <c r="J186" s="12"/>
      <c r="K186" s="11"/>
      <c r="L186" s="13">
        <f>IF(G186="","",IF(I186="Sold",IF(K186="","",K186-G186),TODAY()-G186))</f>
      </c>
      <c r="M186" s="14">
        <f>IF(J186="","",J186-E186)</f>
      </c>
      <c r="N186" s="13">
        <f>IF(OR(G186="",I186&lt;&gt;"Listed"),"",IF(TODAY()-G186&gt;60,"Reprice or move it",IF(TODAY()-G186&gt;30,"Check price","")))</f>
      </c>
    </row>
    <row r="187" spans="1:14" x14ac:dyDescent="0.25">
      <c r="A187" s="10"/>
      <c r="B187" s="10"/>
      <c r="C187" s="10"/>
      <c r="D187" s="11"/>
      <c r="E187" s="12"/>
      <c r="F187" s="10"/>
      <c r="G187" s="11"/>
      <c r="H187" s="12"/>
      <c r="I187" s="10"/>
      <c r="J187" s="12"/>
      <c r="K187" s="11"/>
      <c r="L187" s="13">
        <f>IF(G187="","",IF(I187="Sold",IF(K187="","",K187-G187),TODAY()-G187))</f>
      </c>
      <c r="M187" s="14">
        <f>IF(J187="","",J187-E187)</f>
      </c>
      <c r="N187" s="13">
        <f>IF(OR(G187="",I187&lt;&gt;"Listed"),"",IF(TODAY()-G187&gt;60,"Reprice or move it",IF(TODAY()-G187&gt;30,"Check price","")))</f>
      </c>
    </row>
    <row r="188" spans="1:14" x14ac:dyDescent="0.25">
      <c r="A188" s="10"/>
      <c r="B188" s="10"/>
      <c r="C188" s="10"/>
      <c r="D188" s="11"/>
      <c r="E188" s="12"/>
      <c r="F188" s="10"/>
      <c r="G188" s="11"/>
      <c r="H188" s="12"/>
      <c r="I188" s="10"/>
      <c r="J188" s="12"/>
      <c r="K188" s="11"/>
      <c r="L188" s="13">
        <f>IF(G188="","",IF(I188="Sold",IF(K188="","",K188-G188),TODAY()-G188))</f>
      </c>
      <c r="M188" s="14">
        <f>IF(J188="","",J188-E188)</f>
      </c>
      <c r="N188" s="13">
        <f>IF(OR(G188="",I188&lt;&gt;"Listed"),"",IF(TODAY()-G188&gt;60,"Reprice or move it",IF(TODAY()-G188&gt;30,"Check price","")))</f>
      </c>
    </row>
    <row r="189" spans="1:14" x14ac:dyDescent="0.25">
      <c r="A189" s="10"/>
      <c r="B189" s="10"/>
      <c r="C189" s="10"/>
      <c r="D189" s="11"/>
      <c r="E189" s="12"/>
      <c r="F189" s="10"/>
      <c r="G189" s="11"/>
      <c r="H189" s="12"/>
      <c r="I189" s="10"/>
      <c r="J189" s="12"/>
      <c r="K189" s="11"/>
      <c r="L189" s="13">
        <f>IF(G189="","",IF(I189="Sold",IF(K189="","",K189-G189),TODAY()-G189))</f>
      </c>
      <c r="M189" s="14">
        <f>IF(J189="","",J189-E189)</f>
      </c>
      <c r="N189" s="13">
        <f>IF(OR(G189="",I189&lt;&gt;"Listed"),"",IF(TODAY()-G189&gt;60,"Reprice or move it",IF(TODAY()-G189&gt;30,"Check price","")))</f>
      </c>
    </row>
    <row r="190" spans="1:14" x14ac:dyDescent="0.25">
      <c r="A190" s="10"/>
      <c r="B190" s="10"/>
      <c r="C190" s="10"/>
      <c r="D190" s="11"/>
      <c r="E190" s="12"/>
      <c r="F190" s="10"/>
      <c r="G190" s="11"/>
      <c r="H190" s="12"/>
      <c r="I190" s="10"/>
      <c r="J190" s="12"/>
      <c r="K190" s="11"/>
      <c r="L190" s="13">
        <f>IF(G190="","",IF(I190="Sold",IF(K190="","",K190-G190),TODAY()-G190))</f>
      </c>
      <c r="M190" s="14">
        <f>IF(J190="","",J190-E190)</f>
      </c>
      <c r="N190" s="13">
        <f>IF(OR(G190="",I190&lt;&gt;"Listed"),"",IF(TODAY()-G190&gt;60,"Reprice or move it",IF(TODAY()-G190&gt;30,"Check price","")))</f>
      </c>
    </row>
    <row r="191" spans="1:14" x14ac:dyDescent="0.25">
      <c r="A191" s="10"/>
      <c r="B191" s="10"/>
      <c r="C191" s="10"/>
      <c r="D191" s="11"/>
      <c r="E191" s="12"/>
      <c r="F191" s="10"/>
      <c r="G191" s="11"/>
      <c r="H191" s="12"/>
      <c r="I191" s="10"/>
      <c r="J191" s="12"/>
      <c r="K191" s="11"/>
      <c r="L191" s="13">
        <f>IF(G191="","",IF(I191="Sold",IF(K191="","",K191-G191),TODAY()-G191))</f>
      </c>
      <c r="M191" s="14">
        <f>IF(J191="","",J191-E191)</f>
      </c>
      <c r="N191" s="13">
        <f>IF(OR(G191="",I191&lt;&gt;"Listed"),"",IF(TODAY()-G191&gt;60,"Reprice or move it",IF(TODAY()-G191&gt;30,"Check price","")))</f>
      </c>
    </row>
    <row r="192" spans="1:14" x14ac:dyDescent="0.25">
      <c r="A192" s="10"/>
      <c r="B192" s="10"/>
      <c r="C192" s="10"/>
      <c r="D192" s="11"/>
      <c r="E192" s="12"/>
      <c r="F192" s="10"/>
      <c r="G192" s="11"/>
      <c r="H192" s="12"/>
      <c r="I192" s="10"/>
      <c r="J192" s="12"/>
      <c r="K192" s="11"/>
      <c r="L192" s="13">
        <f>IF(G192="","",IF(I192="Sold",IF(K192="","",K192-G192),TODAY()-G192))</f>
      </c>
      <c r="M192" s="14">
        <f>IF(J192="","",J192-E192)</f>
      </c>
      <c r="N192" s="13">
        <f>IF(OR(G192="",I192&lt;&gt;"Listed"),"",IF(TODAY()-G192&gt;60,"Reprice or move it",IF(TODAY()-G192&gt;30,"Check price","")))</f>
      </c>
    </row>
    <row r="193" spans="1:14" x14ac:dyDescent="0.25">
      <c r="A193" s="10"/>
      <c r="B193" s="10"/>
      <c r="C193" s="10"/>
      <c r="D193" s="11"/>
      <c r="E193" s="12"/>
      <c r="F193" s="10"/>
      <c r="G193" s="11"/>
      <c r="H193" s="12"/>
      <c r="I193" s="10"/>
      <c r="J193" s="12"/>
      <c r="K193" s="11"/>
      <c r="L193" s="13">
        <f>IF(G193="","",IF(I193="Sold",IF(K193="","",K193-G193),TODAY()-G193))</f>
      </c>
      <c r="M193" s="14">
        <f>IF(J193="","",J193-E193)</f>
      </c>
      <c r="N193" s="13">
        <f>IF(OR(G193="",I193&lt;&gt;"Listed"),"",IF(TODAY()-G193&gt;60,"Reprice or move it",IF(TODAY()-G193&gt;30,"Check price","")))</f>
      </c>
    </row>
    <row r="194" spans="1:14" x14ac:dyDescent="0.25">
      <c r="A194" s="10"/>
      <c r="B194" s="10"/>
      <c r="C194" s="10"/>
      <c r="D194" s="11"/>
      <c r="E194" s="12"/>
      <c r="F194" s="10"/>
      <c r="G194" s="11"/>
      <c r="H194" s="12"/>
      <c r="I194" s="10"/>
      <c r="J194" s="12"/>
      <c r="K194" s="11"/>
      <c r="L194" s="13">
        <f>IF(G194="","",IF(I194="Sold",IF(K194="","",K194-G194),TODAY()-G194))</f>
      </c>
      <c r="M194" s="14">
        <f>IF(J194="","",J194-E194)</f>
      </c>
      <c r="N194" s="13">
        <f>IF(OR(G194="",I194&lt;&gt;"Listed"),"",IF(TODAY()-G194&gt;60,"Reprice or move it",IF(TODAY()-G194&gt;30,"Check price","")))</f>
      </c>
    </row>
    <row r="195" spans="1:14" x14ac:dyDescent="0.25">
      <c r="A195" s="10"/>
      <c r="B195" s="10"/>
      <c r="C195" s="10"/>
      <c r="D195" s="11"/>
      <c r="E195" s="12"/>
      <c r="F195" s="10"/>
      <c r="G195" s="11"/>
      <c r="H195" s="12"/>
      <c r="I195" s="10"/>
      <c r="J195" s="12"/>
      <c r="K195" s="11"/>
      <c r="L195" s="13">
        <f>IF(G195="","",IF(I195="Sold",IF(K195="","",K195-G195),TODAY()-G195))</f>
      </c>
      <c r="M195" s="14">
        <f>IF(J195="","",J195-E195)</f>
      </c>
      <c r="N195" s="13">
        <f>IF(OR(G195="",I195&lt;&gt;"Listed"),"",IF(TODAY()-G195&gt;60,"Reprice or move it",IF(TODAY()-G195&gt;30,"Check price","")))</f>
      </c>
    </row>
    <row r="196" spans="1:14" x14ac:dyDescent="0.25">
      <c r="A196" s="10"/>
      <c r="B196" s="10"/>
      <c r="C196" s="10"/>
      <c r="D196" s="11"/>
      <c r="E196" s="12"/>
      <c r="F196" s="10"/>
      <c r="G196" s="11"/>
      <c r="H196" s="12"/>
      <c r="I196" s="10"/>
      <c r="J196" s="12"/>
      <c r="K196" s="11"/>
      <c r="L196" s="13">
        <f>IF(G196="","",IF(I196="Sold",IF(K196="","",K196-G196),TODAY()-G196))</f>
      </c>
      <c r="M196" s="14">
        <f>IF(J196="","",J196-E196)</f>
      </c>
      <c r="N196" s="13">
        <f>IF(OR(G196="",I196&lt;&gt;"Listed"),"",IF(TODAY()-G196&gt;60,"Reprice or move it",IF(TODAY()-G196&gt;30,"Check price","")))</f>
      </c>
    </row>
    <row r="197" spans="1:14" x14ac:dyDescent="0.25">
      <c r="A197" s="10"/>
      <c r="B197" s="10"/>
      <c r="C197" s="10"/>
      <c r="D197" s="11"/>
      <c r="E197" s="12"/>
      <c r="F197" s="10"/>
      <c r="G197" s="11"/>
      <c r="H197" s="12"/>
      <c r="I197" s="10"/>
      <c r="J197" s="12"/>
      <c r="K197" s="11"/>
      <c r="L197" s="13">
        <f>IF(G197="","",IF(I197="Sold",IF(K197="","",K197-G197),TODAY()-G197))</f>
      </c>
      <c r="M197" s="14">
        <f>IF(J197="","",J197-E197)</f>
      </c>
      <c r="N197" s="13">
        <f>IF(OR(G197="",I197&lt;&gt;"Listed"),"",IF(TODAY()-G197&gt;60,"Reprice or move it",IF(TODAY()-G197&gt;30,"Check price","")))</f>
      </c>
    </row>
    <row r="198" spans="1:14" x14ac:dyDescent="0.25">
      <c r="A198" s="10"/>
      <c r="B198" s="10"/>
      <c r="C198" s="10"/>
      <c r="D198" s="11"/>
      <c r="E198" s="12"/>
      <c r="F198" s="10"/>
      <c r="G198" s="11"/>
      <c r="H198" s="12"/>
      <c r="I198" s="10"/>
      <c r="J198" s="12"/>
      <c r="K198" s="11"/>
      <c r="L198" s="13">
        <f>IF(G198="","",IF(I198="Sold",IF(K198="","",K198-G198),TODAY()-G198))</f>
      </c>
      <c r="M198" s="14">
        <f>IF(J198="","",J198-E198)</f>
      </c>
      <c r="N198" s="13">
        <f>IF(OR(G198="",I198&lt;&gt;"Listed"),"",IF(TODAY()-G198&gt;60,"Reprice or move it",IF(TODAY()-G198&gt;30,"Check price","")))</f>
      </c>
    </row>
    <row r="199" spans="1:14" x14ac:dyDescent="0.25">
      <c r="A199" s="10"/>
      <c r="B199" s="10"/>
      <c r="C199" s="10"/>
      <c r="D199" s="11"/>
      <c r="E199" s="12"/>
      <c r="F199" s="10"/>
      <c r="G199" s="11"/>
      <c r="H199" s="12"/>
      <c r="I199" s="10"/>
      <c r="J199" s="12"/>
      <c r="K199" s="11"/>
      <c r="L199" s="13">
        <f>IF(G199="","",IF(I199="Sold",IF(K199="","",K199-G199),TODAY()-G199))</f>
      </c>
      <c r="M199" s="14">
        <f>IF(J199="","",J199-E199)</f>
      </c>
      <c r="N199" s="13">
        <f>IF(OR(G199="",I199&lt;&gt;"Listed"),"",IF(TODAY()-G199&gt;60,"Reprice or move it",IF(TODAY()-G199&gt;30,"Check price","")))</f>
      </c>
    </row>
    <row r="200" spans="1:14" x14ac:dyDescent="0.25">
      <c r="A200" s="10"/>
      <c r="B200" s="10"/>
      <c r="C200" s="10"/>
      <c r="D200" s="11"/>
      <c r="E200" s="12"/>
      <c r="F200" s="10"/>
      <c r="G200" s="11"/>
      <c r="H200" s="12"/>
      <c r="I200" s="10"/>
      <c r="J200" s="12"/>
      <c r="K200" s="11"/>
      <c r="L200" s="13">
        <f>IF(G200="","",IF(I200="Sold",IF(K200="","",K200-G200),TODAY()-G200))</f>
      </c>
      <c r="M200" s="14">
        <f>IF(J200="","",J200-E200)</f>
      </c>
      <c r="N200" s="13">
        <f>IF(OR(G200="",I200&lt;&gt;"Listed"),"",IF(TODAY()-G200&gt;60,"Reprice or move it",IF(TODAY()-G200&gt;30,"Check price","")))</f>
      </c>
    </row>
    <row r="201" spans="1:14" x14ac:dyDescent="0.25">
      <c r="A201" s="10"/>
      <c r="B201" s="10"/>
      <c r="C201" s="10"/>
      <c r="D201" s="11"/>
      <c r="E201" s="12"/>
      <c r="F201" s="10"/>
      <c r="G201" s="11"/>
      <c r="H201" s="12"/>
      <c r="I201" s="10"/>
      <c r="J201" s="12"/>
      <c r="K201" s="11"/>
      <c r="L201" s="13">
        <f>IF(G201="","",IF(I201="Sold",IF(K201="","",K201-G201),TODAY()-G201))</f>
      </c>
      <c r="M201" s="14">
        <f>IF(J201="","",J201-E201)</f>
      </c>
      <c r="N201" s="13">
        <f>IF(OR(G201="",I201&lt;&gt;"Listed"),"",IF(TODAY()-G201&gt;60,"Reprice or move it",IF(TODAY()-G201&gt;30,"Check price","")))</f>
      </c>
    </row>
    <row r="202" spans="1:14" x14ac:dyDescent="0.25">
      <c r="A202" s="10"/>
      <c r="B202" s="10"/>
      <c r="C202" s="10"/>
      <c r="D202" s="11"/>
      <c r="E202" s="12"/>
      <c r="F202" s="10"/>
      <c r="G202" s="11"/>
      <c r="H202" s="12"/>
      <c r="I202" s="10"/>
      <c r="J202" s="12"/>
      <c r="K202" s="11"/>
      <c r="L202" s="13">
        <f>IF(G202="","",IF(I202="Sold",IF(K202="","",K202-G202),TODAY()-G202))</f>
      </c>
      <c r="M202" s="14">
        <f>IF(J202="","",J202-E202)</f>
      </c>
      <c r="N202" s="13">
        <f>IF(OR(G202="",I202&lt;&gt;"Listed"),"",IF(TODAY()-G202&gt;60,"Reprice or move it",IF(TODAY()-G202&gt;30,"Check price","")))</f>
      </c>
    </row>
    <row r="203" spans="1:14" x14ac:dyDescent="0.25">
      <c r="A203" s="10"/>
      <c r="B203" s="10"/>
      <c r="C203" s="10"/>
      <c r="D203" s="11"/>
      <c r="E203" s="12"/>
      <c r="F203" s="10"/>
      <c r="G203" s="11"/>
      <c r="H203" s="12"/>
      <c r="I203" s="10"/>
      <c r="J203" s="12"/>
      <c r="K203" s="11"/>
      <c r="L203" s="13">
        <f>IF(G203="","",IF(I203="Sold",IF(K203="","",K203-G203),TODAY()-G203))</f>
      </c>
      <c r="M203" s="14">
        <f>IF(J203="","",J203-E203)</f>
      </c>
      <c r="N203" s="13">
        <f>IF(OR(G203="",I203&lt;&gt;"Listed"),"",IF(TODAY()-G203&gt;60,"Reprice or move it",IF(TODAY()-G203&gt;30,"Check price","")))</f>
      </c>
    </row>
    <row r="204" spans="1:14" x14ac:dyDescent="0.25">
      <c r="A204" s="10"/>
      <c r="B204" s="10"/>
      <c r="C204" s="10"/>
      <c r="D204" s="11"/>
      <c r="E204" s="12"/>
      <c r="F204" s="10"/>
      <c r="G204" s="11"/>
      <c r="H204" s="12"/>
      <c r="I204" s="10"/>
      <c r="J204" s="12"/>
      <c r="K204" s="11"/>
      <c r="L204" s="13">
        <f>IF(G204="","",IF(I204="Sold",IF(K204="","",K204-G204),TODAY()-G204))</f>
      </c>
      <c r="M204" s="14">
        <f>IF(J204="","",J204-E204)</f>
      </c>
      <c r="N204" s="13">
        <f>IF(OR(G204="",I204&lt;&gt;"Listed"),"",IF(TODAY()-G204&gt;60,"Reprice or move it",IF(TODAY()-G204&gt;30,"Check price","")))</f>
      </c>
    </row>
    <row r="205" spans="1:14" x14ac:dyDescent="0.25">
      <c r="A205" s="10"/>
      <c r="B205" s="10"/>
      <c r="C205" s="10"/>
      <c r="D205" s="11"/>
      <c r="E205" s="12"/>
      <c r="F205" s="10"/>
      <c r="G205" s="11"/>
      <c r="H205" s="12"/>
      <c r="I205" s="10"/>
      <c r="J205" s="12"/>
      <c r="K205" s="11"/>
      <c r="L205" s="13">
        <f>IF(G205="","",IF(I205="Sold",IF(K205="","",K205-G205),TODAY()-G205))</f>
      </c>
      <c r="M205" s="14">
        <f>IF(J205="","",J205-E205)</f>
      </c>
      <c r="N205" s="13">
        <f>IF(OR(G205="",I205&lt;&gt;"Listed"),"",IF(TODAY()-G205&gt;60,"Reprice or move it",IF(TODAY()-G205&gt;30,"Check price","")))</f>
      </c>
    </row>
    <row r="206" spans="1:14" x14ac:dyDescent="0.25">
      <c r="A206" s="10"/>
      <c r="B206" s="10"/>
      <c r="C206" s="10"/>
      <c r="D206" s="11"/>
      <c r="E206" s="12"/>
      <c r="F206" s="10"/>
      <c r="G206" s="11"/>
      <c r="H206" s="12"/>
      <c r="I206" s="10"/>
      <c r="J206" s="12"/>
      <c r="K206" s="11"/>
      <c r="L206" s="13">
        <f>IF(G206="","",IF(I206="Sold",IF(K206="","",K206-G206),TODAY()-G206))</f>
      </c>
      <c r="M206" s="14">
        <f>IF(J206="","",J206-E206)</f>
      </c>
      <c r="N206" s="13">
        <f>IF(OR(G206="",I206&lt;&gt;"Listed"),"",IF(TODAY()-G206&gt;60,"Reprice or move it",IF(TODAY()-G206&gt;30,"Check price","")))</f>
      </c>
    </row>
    <row r="207" spans="1:14" x14ac:dyDescent="0.25">
      <c r="A207" s="10"/>
      <c r="B207" s="10"/>
      <c r="C207" s="10"/>
      <c r="D207" s="11"/>
      <c r="E207" s="12"/>
      <c r="F207" s="10"/>
      <c r="G207" s="11"/>
      <c r="H207" s="12"/>
      <c r="I207" s="10"/>
      <c r="J207" s="12"/>
      <c r="K207" s="11"/>
      <c r="L207" s="13">
        <f>IF(G207="","",IF(I207="Sold",IF(K207="","",K207-G207),TODAY()-G207))</f>
      </c>
      <c r="M207" s="14">
        <f>IF(J207="","",J207-E207)</f>
      </c>
      <c r="N207" s="13">
        <f>IF(OR(G207="",I207&lt;&gt;"Listed"),"",IF(TODAY()-G207&gt;60,"Reprice or move it",IF(TODAY()-G207&gt;30,"Check price","")))</f>
      </c>
    </row>
    <row r="208" spans="1:14" x14ac:dyDescent="0.25">
      <c r="A208" s="10"/>
      <c r="B208" s="10"/>
      <c r="C208" s="10"/>
      <c r="D208" s="11"/>
      <c r="E208" s="12"/>
      <c r="F208" s="10"/>
      <c r="G208" s="11"/>
      <c r="H208" s="12"/>
      <c r="I208" s="10"/>
      <c r="J208" s="12"/>
      <c r="K208" s="11"/>
      <c r="L208" s="13">
        <f>IF(G208="","",IF(I208="Sold",IF(K208="","",K208-G208),TODAY()-G208))</f>
      </c>
      <c r="M208" s="14">
        <f>IF(J208="","",J208-E208)</f>
      </c>
      <c r="N208" s="13">
        <f>IF(OR(G208="",I208&lt;&gt;"Listed"),"",IF(TODAY()-G208&gt;60,"Reprice or move it",IF(TODAY()-G208&gt;30,"Check price","")))</f>
      </c>
    </row>
    <row r="209" spans="1:14" x14ac:dyDescent="0.25">
      <c r="A209" s="10"/>
      <c r="B209" s="10"/>
      <c r="C209" s="10"/>
      <c r="D209" s="11"/>
      <c r="E209" s="12"/>
      <c r="F209" s="10"/>
      <c r="G209" s="11"/>
      <c r="H209" s="12"/>
      <c r="I209" s="10"/>
      <c r="J209" s="12"/>
      <c r="K209" s="11"/>
      <c r="L209" s="13">
        <f>IF(G209="","",IF(I209="Sold",IF(K209="","",K209-G209),TODAY()-G209))</f>
      </c>
      <c r="M209" s="14">
        <f>IF(J209="","",J209-E209)</f>
      </c>
      <c r="N209" s="13">
        <f>IF(OR(G209="",I209&lt;&gt;"Listed"),"",IF(TODAY()-G209&gt;60,"Reprice or move it",IF(TODAY()-G209&gt;30,"Check price","")))</f>
      </c>
    </row>
    <row r="210" spans="1:14" x14ac:dyDescent="0.25">
      <c r="A210" s="10"/>
      <c r="B210" s="10"/>
      <c r="C210" s="10"/>
      <c r="D210" s="11"/>
      <c r="E210" s="12"/>
      <c r="F210" s="10"/>
      <c r="G210" s="11"/>
      <c r="H210" s="12"/>
      <c r="I210" s="10"/>
      <c r="J210" s="12"/>
      <c r="K210" s="11"/>
      <c r="L210" s="13">
        <f>IF(G210="","",IF(I210="Sold",IF(K210="","",K210-G210),TODAY()-G210))</f>
      </c>
      <c r="M210" s="14">
        <f>IF(J210="","",J210-E210)</f>
      </c>
      <c r="N210" s="13">
        <f>IF(OR(G210="",I210&lt;&gt;"Listed"),"",IF(TODAY()-G210&gt;60,"Reprice or move it",IF(TODAY()-G210&gt;30,"Check price","")))</f>
      </c>
    </row>
    <row r="211" spans="1:14" x14ac:dyDescent="0.25">
      <c r="A211" s="10"/>
      <c r="B211" s="10"/>
      <c r="C211" s="10"/>
      <c r="D211" s="11"/>
      <c r="E211" s="12"/>
      <c r="F211" s="10"/>
      <c r="G211" s="11"/>
      <c r="H211" s="12"/>
      <c r="I211" s="10"/>
      <c r="J211" s="12"/>
      <c r="K211" s="11"/>
      <c r="L211" s="13">
        <f>IF(G211="","",IF(I211="Sold",IF(K211="","",K211-G211),TODAY()-G211))</f>
      </c>
      <c r="M211" s="14">
        <f>IF(J211="","",J211-E211)</f>
      </c>
      <c r="N211" s="13">
        <f>IF(OR(G211="",I211&lt;&gt;"Listed"),"",IF(TODAY()-G211&gt;60,"Reprice or move it",IF(TODAY()-G211&gt;30,"Check price","")))</f>
      </c>
    </row>
    <row r="212" spans="1:14" x14ac:dyDescent="0.25">
      <c r="A212" s="10"/>
      <c r="B212" s="10"/>
      <c r="C212" s="10"/>
      <c r="D212" s="11"/>
      <c r="E212" s="12"/>
      <c r="F212" s="10"/>
      <c r="G212" s="11"/>
      <c r="H212" s="12"/>
      <c r="I212" s="10"/>
      <c r="J212" s="12"/>
      <c r="K212" s="11"/>
      <c r="L212" s="13">
        <f>IF(G212="","",IF(I212="Sold",IF(K212="","",K212-G212),TODAY()-G212))</f>
      </c>
      <c r="M212" s="14">
        <f>IF(J212="","",J212-E212)</f>
      </c>
      <c r="N212" s="13">
        <f>IF(OR(G212="",I212&lt;&gt;"Listed"),"",IF(TODAY()-G212&gt;60,"Reprice or move it",IF(TODAY()-G212&gt;30,"Check price","")))</f>
      </c>
    </row>
    <row r="213" spans="1:14" x14ac:dyDescent="0.25">
      <c r="A213" s="10"/>
      <c r="B213" s="10"/>
      <c r="C213" s="10"/>
      <c r="D213" s="11"/>
      <c r="E213" s="12"/>
      <c r="F213" s="10"/>
      <c r="G213" s="11"/>
      <c r="H213" s="12"/>
      <c r="I213" s="10"/>
      <c r="J213" s="12"/>
      <c r="K213" s="11"/>
      <c r="L213" s="13">
        <f>IF(G213="","",IF(I213="Sold",IF(K213="","",K213-G213),TODAY()-G213))</f>
      </c>
      <c r="M213" s="14">
        <f>IF(J213="","",J213-E213)</f>
      </c>
      <c r="N213" s="13">
        <f>IF(OR(G213="",I213&lt;&gt;"Listed"),"",IF(TODAY()-G213&gt;60,"Reprice or move it",IF(TODAY()-G213&gt;30,"Check price","")))</f>
      </c>
    </row>
    <row r="214" spans="1:14" x14ac:dyDescent="0.25">
      <c r="A214" s="10"/>
      <c r="B214" s="10"/>
      <c r="C214" s="10"/>
      <c r="D214" s="11"/>
      <c r="E214" s="12"/>
      <c r="F214" s="10"/>
      <c r="G214" s="11"/>
      <c r="H214" s="12"/>
      <c r="I214" s="10"/>
      <c r="J214" s="12"/>
      <c r="K214" s="11"/>
      <c r="L214" s="13">
        <f>IF(G214="","",IF(I214="Sold",IF(K214="","",K214-G214),TODAY()-G214))</f>
      </c>
      <c r="M214" s="14">
        <f>IF(J214="","",J214-E214)</f>
      </c>
      <c r="N214" s="13">
        <f>IF(OR(G214="",I214&lt;&gt;"Listed"),"",IF(TODAY()-G214&gt;60,"Reprice or move it",IF(TODAY()-G214&gt;30,"Check price","")))</f>
      </c>
    </row>
    <row r="215" spans="1:14" x14ac:dyDescent="0.25">
      <c r="A215" s="10"/>
      <c r="B215" s="10"/>
      <c r="C215" s="10"/>
      <c r="D215" s="11"/>
      <c r="E215" s="12"/>
      <c r="F215" s="10"/>
      <c r="G215" s="11"/>
      <c r="H215" s="12"/>
      <c r="I215" s="10"/>
      <c r="J215" s="12"/>
      <c r="K215" s="11"/>
      <c r="L215" s="13">
        <f>IF(G215="","",IF(I215="Sold",IF(K215="","",K215-G215),TODAY()-G215))</f>
      </c>
      <c r="M215" s="14">
        <f>IF(J215="","",J215-E215)</f>
      </c>
      <c r="N215" s="13">
        <f>IF(OR(G215="",I215&lt;&gt;"Listed"),"",IF(TODAY()-G215&gt;60,"Reprice or move it",IF(TODAY()-G215&gt;30,"Check price","")))</f>
      </c>
    </row>
    <row r="216" spans="1:14" x14ac:dyDescent="0.25">
      <c r="A216" s="10"/>
      <c r="B216" s="10"/>
      <c r="C216" s="10"/>
      <c r="D216" s="11"/>
      <c r="E216" s="12"/>
      <c r="F216" s="10"/>
      <c r="G216" s="11"/>
      <c r="H216" s="12"/>
      <c r="I216" s="10"/>
      <c r="J216" s="12"/>
      <c r="K216" s="11"/>
      <c r="L216" s="13">
        <f>IF(G216="","",IF(I216="Sold",IF(K216="","",K216-G216),TODAY()-G216))</f>
      </c>
      <c r="M216" s="14">
        <f>IF(J216="","",J216-E216)</f>
      </c>
      <c r="N216" s="13">
        <f>IF(OR(G216="",I216&lt;&gt;"Listed"),"",IF(TODAY()-G216&gt;60,"Reprice or move it",IF(TODAY()-G216&gt;30,"Check price","")))</f>
      </c>
    </row>
    <row r="217" spans="1:14" x14ac:dyDescent="0.25">
      <c r="A217" s="10"/>
      <c r="B217" s="10"/>
      <c r="C217" s="10"/>
      <c r="D217" s="11"/>
      <c r="E217" s="12"/>
      <c r="F217" s="10"/>
      <c r="G217" s="11"/>
      <c r="H217" s="12"/>
      <c r="I217" s="10"/>
      <c r="J217" s="12"/>
      <c r="K217" s="11"/>
      <c r="L217" s="13">
        <f>IF(G217="","",IF(I217="Sold",IF(K217="","",K217-G217),TODAY()-G217))</f>
      </c>
      <c r="M217" s="14">
        <f>IF(J217="","",J217-E217)</f>
      </c>
      <c r="N217" s="13">
        <f>IF(OR(G217="",I217&lt;&gt;"Listed"),"",IF(TODAY()-G217&gt;60,"Reprice or move it",IF(TODAY()-G217&gt;30,"Check price","")))</f>
      </c>
    </row>
    <row r="218" spans="1:14" x14ac:dyDescent="0.25">
      <c r="A218" s="10"/>
      <c r="B218" s="10"/>
      <c r="C218" s="10"/>
      <c r="D218" s="11"/>
      <c r="E218" s="12"/>
      <c r="F218" s="10"/>
      <c r="G218" s="11"/>
      <c r="H218" s="12"/>
      <c r="I218" s="10"/>
      <c r="J218" s="12"/>
      <c r="K218" s="11"/>
      <c r="L218" s="13">
        <f>IF(G218="","",IF(I218="Sold",IF(K218="","",K218-G218),TODAY()-G218))</f>
      </c>
      <c r="M218" s="14">
        <f>IF(J218="","",J218-E218)</f>
      </c>
      <c r="N218" s="13">
        <f>IF(OR(G218="",I218&lt;&gt;"Listed"),"",IF(TODAY()-G218&gt;60,"Reprice or move it",IF(TODAY()-G218&gt;30,"Check price","")))</f>
      </c>
    </row>
    <row r="219" spans="1:14" x14ac:dyDescent="0.25">
      <c r="A219" s="10"/>
      <c r="B219" s="10"/>
      <c r="C219" s="10"/>
      <c r="D219" s="11"/>
      <c r="E219" s="12"/>
      <c r="F219" s="10"/>
      <c r="G219" s="11"/>
      <c r="H219" s="12"/>
      <c r="I219" s="10"/>
      <c r="J219" s="12"/>
      <c r="K219" s="11"/>
      <c r="L219" s="13">
        <f>IF(G219="","",IF(I219="Sold",IF(K219="","",K219-G219),TODAY()-G219))</f>
      </c>
      <c r="M219" s="14">
        <f>IF(J219="","",J219-E219)</f>
      </c>
      <c r="N219" s="13">
        <f>IF(OR(G219="",I219&lt;&gt;"Listed"),"",IF(TODAY()-G219&gt;60,"Reprice or move it",IF(TODAY()-G219&gt;30,"Check price","")))</f>
      </c>
    </row>
    <row r="220" spans="1:14" x14ac:dyDescent="0.25">
      <c r="A220" s="10"/>
      <c r="B220" s="10"/>
      <c r="C220" s="10"/>
      <c r="D220" s="11"/>
      <c r="E220" s="12"/>
      <c r="F220" s="10"/>
      <c r="G220" s="11"/>
      <c r="H220" s="12"/>
      <c r="I220" s="10"/>
      <c r="J220" s="12"/>
      <c r="K220" s="11"/>
      <c r="L220" s="13">
        <f>IF(G220="","",IF(I220="Sold",IF(K220="","",K220-G220),TODAY()-G220))</f>
      </c>
      <c r="M220" s="14">
        <f>IF(J220="","",J220-E220)</f>
      </c>
      <c r="N220" s="13">
        <f>IF(OR(G220="",I220&lt;&gt;"Listed"),"",IF(TODAY()-G220&gt;60,"Reprice or move it",IF(TODAY()-G220&gt;30,"Check price","")))</f>
      </c>
    </row>
    <row r="221" spans="1:14" x14ac:dyDescent="0.25">
      <c r="A221" s="10"/>
      <c r="B221" s="10"/>
      <c r="C221" s="10"/>
      <c r="D221" s="11"/>
      <c r="E221" s="12"/>
      <c r="F221" s="10"/>
      <c r="G221" s="11"/>
      <c r="H221" s="12"/>
      <c r="I221" s="10"/>
      <c r="J221" s="12"/>
      <c r="K221" s="11"/>
      <c r="L221" s="13">
        <f>IF(G221="","",IF(I221="Sold",IF(K221="","",K221-G221),TODAY()-G221))</f>
      </c>
      <c r="M221" s="14">
        <f>IF(J221="","",J221-E221)</f>
      </c>
      <c r="N221" s="13">
        <f>IF(OR(G221="",I221&lt;&gt;"Listed"),"",IF(TODAY()-G221&gt;60,"Reprice or move it",IF(TODAY()-G221&gt;30,"Check price","")))</f>
      </c>
    </row>
    <row r="222" spans="1:14" x14ac:dyDescent="0.25">
      <c r="A222" s="10"/>
      <c r="B222" s="10"/>
      <c r="C222" s="10"/>
      <c r="D222" s="11"/>
      <c r="E222" s="12"/>
      <c r="F222" s="10"/>
      <c r="G222" s="11"/>
      <c r="H222" s="12"/>
      <c r="I222" s="10"/>
      <c r="J222" s="12"/>
      <c r="K222" s="11"/>
      <c r="L222" s="13">
        <f>IF(G222="","",IF(I222="Sold",IF(K222="","",K222-G222),TODAY()-G222))</f>
      </c>
      <c r="M222" s="14">
        <f>IF(J222="","",J222-E222)</f>
      </c>
      <c r="N222" s="13">
        <f>IF(OR(G222="",I222&lt;&gt;"Listed"),"",IF(TODAY()-G222&gt;60,"Reprice or move it",IF(TODAY()-G222&gt;30,"Check price","")))</f>
      </c>
    </row>
    <row r="223" spans="1:14" x14ac:dyDescent="0.25">
      <c r="A223" s="10"/>
      <c r="B223" s="10"/>
      <c r="C223" s="10"/>
      <c r="D223" s="11"/>
      <c r="E223" s="12"/>
      <c r="F223" s="10"/>
      <c r="G223" s="11"/>
      <c r="H223" s="12"/>
      <c r="I223" s="10"/>
      <c r="J223" s="12"/>
      <c r="K223" s="11"/>
      <c r="L223" s="13">
        <f>IF(G223="","",IF(I223="Sold",IF(K223="","",K223-G223),TODAY()-G223))</f>
      </c>
      <c r="M223" s="14">
        <f>IF(J223="","",J223-E223)</f>
      </c>
      <c r="N223" s="13">
        <f>IF(OR(G223="",I223&lt;&gt;"Listed"),"",IF(TODAY()-G223&gt;60,"Reprice or move it",IF(TODAY()-G223&gt;30,"Check price","")))</f>
      </c>
    </row>
    <row r="224" spans="1:14" x14ac:dyDescent="0.25">
      <c r="A224" s="10"/>
      <c r="B224" s="10"/>
      <c r="C224" s="10"/>
      <c r="D224" s="11"/>
      <c r="E224" s="12"/>
      <c r="F224" s="10"/>
      <c r="G224" s="11"/>
      <c r="H224" s="12"/>
      <c r="I224" s="10"/>
      <c r="J224" s="12"/>
      <c r="K224" s="11"/>
      <c r="L224" s="13">
        <f>IF(G224="","",IF(I224="Sold",IF(K224="","",K224-G224),TODAY()-G224))</f>
      </c>
      <c r="M224" s="14">
        <f>IF(J224="","",J224-E224)</f>
      </c>
      <c r="N224" s="13">
        <f>IF(OR(G224="",I224&lt;&gt;"Listed"),"",IF(TODAY()-G224&gt;60,"Reprice or move it",IF(TODAY()-G224&gt;30,"Check price","")))</f>
      </c>
    </row>
    <row r="225" spans="1:14" x14ac:dyDescent="0.25">
      <c r="A225" s="10"/>
      <c r="B225" s="10"/>
      <c r="C225" s="10"/>
      <c r="D225" s="11"/>
      <c r="E225" s="12"/>
      <c r="F225" s="10"/>
      <c r="G225" s="11"/>
      <c r="H225" s="12"/>
      <c r="I225" s="10"/>
      <c r="J225" s="12"/>
      <c r="K225" s="11"/>
      <c r="L225" s="13">
        <f>IF(G225="","",IF(I225="Sold",IF(K225="","",K225-G225),TODAY()-G225))</f>
      </c>
      <c r="M225" s="14">
        <f>IF(J225="","",J225-E225)</f>
      </c>
      <c r="N225" s="13">
        <f>IF(OR(G225="",I225&lt;&gt;"Listed"),"",IF(TODAY()-G225&gt;60,"Reprice or move it",IF(TODAY()-G225&gt;30,"Check price","")))</f>
      </c>
    </row>
    <row r="226" spans="1:14" x14ac:dyDescent="0.25">
      <c r="A226" s="10"/>
      <c r="B226" s="10"/>
      <c r="C226" s="10"/>
      <c r="D226" s="11"/>
      <c r="E226" s="12"/>
      <c r="F226" s="10"/>
      <c r="G226" s="11"/>
      <c r="H226" s="12"/>
      <c r="I226" s="10"/>
      <c r="J226" s="12"/>
      <c r="K226" s="11"/>
      <c r="L226" s="13">
        <f>IF(G226="","",IF(I226="Sold",IF(K226="","",K226-G226),TODAY()-G226))</f>
      </c>
      <c r="M226" s="14">
        <f>IF(J226="","",J226-E226)</f>
      </c>
      <c r="N226" s="13">
        <f>IF(OR(G226="",I226&lt;&gt;"Listed"),"",IF(TODAY()-G226&gt;60,"Reprice or move it",IF(TODAY()-G226&gt;30,"Check price","")))</f>
      </c>
    </row>
    <row r="227" spans="1:14" x14ac:dyDescent="0.25">
      <c r="A227" s="10"/>
      <c r="B227" s="10"/>
      <c r="C227" s="10"/>
      <c r="D227" s="11"/>
      <c r="E227" s="12"/>
      <c r="F227" s="10"/>
      <c r="G227" s="11"/>
      <c r="H227" s="12"/>
      <c r="I227" s="10"/>
      <c r="J227" s="12"/>
      <c r="K227" s="11"/>
      <c r="L227" s="13">
        <f>IF(G227="","",IF(I227="Sold",IF(K227="","",K227-G227),TODAY()-G227))</f>
      </c>
      <c r="M227" s="14">
        <f>IF(J227="","",J227-E227)</f>
      </c>
      <c r="N227" s="13">
        <f>IF(OR(G227="",I227&lt;&gt;"Listed"),"",IF(TODAY()-G227&gt;60,"Reprice or move it",IF(TODAY()-G227&gt;30,"Check price","")))</f>
      </c>
    </row>
    <row r="228" spans="1:14" x14ac:dyDescent="0.25">
      <c r="A228" s="10"/>
      <c r="B228" s="10"/>
      <c r="C228" s="10"/>
      <c r="D228" s="11"/>
      <c r="E228" s="12"/>
      <c r="F228" s="10"/>
      <c r="G228" s="11"/>
      <c r="H228" s="12"/>
      <c r="I228" s="10"/>
      <c r="J228" s="12"/>
      <c r="K228" s="11"/>
      <c r="L228" s="13">
        <f>IF(G228="","",IF(I228="Sold",IF(K228="","",K228-G228),TODAY()-G228))</f>
      </c>
      <c r="M228" s="14">
        <f>IF(J228="","",J228-E228)</f>
      </c>
      <c r="N228" s="13">
        <f>IF(OR(G228="",I228&lt;&gt;"Listed"),"",IF(TODAY()-G228&gt;60,"Reprice or move it",IF(TODAY()-G228&gt;30,"Check price","")))</f>
      </c>
    </row>
    <row r="229" spans="1:14" x14ac:dyDescent="0.25">
      <c r="A229" s="10"/>
      <c r="B229" s="10"/>
      <c r="C229" s="10"/>
      <c r="D229" s="11"/>
      <c r="E229" s="12"/>
      <c r="F229" s="10"/>
      <c r="G229" s="11"/>
      <c r="H229" s="12"/>
      <c r="I229" s="10"/>
      <c r="J229" s="12"/>
      <c r="K229" s="11"/>
      <c r="L229" s="13">
        <f>IF(G229="","",IF(I229="Sold",IF(K229="","",K229-G229),TODAY()-G229))</f>
      </c>
      <c r="M229" s="14">
        <f>IF(J229="","",J229-E229)</f>
      </c>
      <c r="N229" s="13">
        <f>IF(OR(G229="",I229&lt;&gt;"Listed"),"",IF(TODAY()-G229&gt;60,"Reprice or move it",IF(TODAY()-G229&gt;30,"Check price","")))</f>
      </c>
    </row>
    <row r="230" spans="1:14" x14ac:dyDescent="0.25">
      <c r="A230" s="10"/>
      <c r="B230" s="10"/>
      <c r="C230" s="10"/>
      <c r="D230" s="11"/>
      <c r="E230" s="12"/>
      <c r="F230" s="10"/>
      <c r="G230" s="11"/>
      <c r="H230" s="12"/>
      <c r="I230" s="10"/>
      <c r="J230" s="12"/>
      <c r="K230" s="11"/>
      <c r="L230" s="13">
        <f>IF(G230="","",IF(I230="Sold",IF(K230="","",K230-G230),TODAY()-G230))</f>
      </c>
      <c r="M230" s="14">
        <f>IF(J230="","",J230-E230)</f>
      </c>
      <c r="N230" s="13">
        <f>IF(OR(G230="",I230&lt;&gt;"Listed"),"",IF(TODAY()-G230&gt;60,"Reprice or move it",IF(TODAY()-G230&gt;30,"Check price","")))</f>
      </c>
    </row>
    <row r="231" spans="1:14" x14ac:dyDescent="0.25">
      <c r="A231" s="10"/>
      <c r="B231" s="10"/>
      <c r="C231" s="10"/>
      <c r="D231" s="11"/>
      <c r="E231" s="12"/>
      <c r="F231" s="10"/>
      <c r="G231" s="11"/>
      <c r="H231" s="12"/>
      <c r="I231" s="10"/>
      <c r="J231" s="12"/>
      <c r="K231" s="11"/>
      <c r="L231" s="13">
        <f>IF(G231="","",IF(I231="Sold",IF(K231="","",K231-G231),TODAY()-G231))</f>
      </c>
      <c r="M231" s="14">
        <f>IF(J231="","",J231-E231)</f>
      </c>
      <c r="N231" s="13">
        <f>IF(OR(G231="",I231&lt;&gt;"Listed"),"",IF(TODAY()-G231&gt;60,"Reprice or move it",IF(TODAY()-G231&gt;30,"Check price","")))</f>
      </c>
    </row>
    <row r="232" spans="1:14" x14ac:dyDescent="0.25">
      <c r="A232" s="10"/>
      <c r="B232" s="10"/>
      <c r="C232" s="10"/>
      <c r="D232" s="11"/>
      <c r="E232" s="12"/>
      <c r="F232" s="10"/>
      <c r="G232" s="11"/>
      <c r="H232" s="12"/>
      <c r="I232" s="10"/>
      <c r="J232" s="12"/>
      <c r="K232" s="11"/>
      <c r="L232" s="13">
        <f>IF(G232="","",IF(I232="Sold",IF(K232="","",K232-G232),TODAY()-G232))</f>
      </c>
      <c r="M232" s="14">
        <f>IF(J232="","",J232-E232)</f>
      </c>
      <c r="N232" s="13">
        <f>IF(OR(G232="",I232&lt;&gt;"Listed"),"",IF(TODAY()-G232&gt;60,"Reprice or move it",IF(TODAY()-G232&gt;30,"Check price","")))</f>
      </c>
    </row>
    <row r="233" spans="1:14" x14ac:dyDescent="0.25">
      <c r="A233" s="10"/>
      <c r="B233" s="10"/>
      <c r="C233" s="10"/>
      <c r="D233" s="11"/>
      <c r="E233" s="12"/>
      <c r="F233" s="10"/>
      <c r="G233" s="11"/>
      <c r="H233" s="12"/>
      <c r="I233" s="10"/>
      <c r="J233" s="12"/>
      <c r="K233" s="11"/>
      <c r="L233" s="13">
        <f>IF(G233="","",IF(I233="Sold",IF(K233="","",K233-G233),TODAY()-G233))</f>
      </c>
      <c r="M233" s="14">
        <f>IF(J233="","",J233-E233)</f>
      </c>
      <c r="N233" s="13">
        <f>IF(OR(G233="",I233&lt;&gt;"Listed"),"",IF(TODAY()-G233&gt;60,"Reprice or move it",IF(TODAY()-G233&gt;30,"Check price","")))</f>
      </c>
    </row>
    <row r="234" spans="1:14" x14ac:dyDescent="0.25">
      <c r="A234" s="10"/>
      <c r="B234" s="10"/>
      <c r="C234" s="10"/>
      <c r="D234" s="11"/>
      <c r="E234" s="12"/>
      <c r="F234" s="10"/>
      <c r="G234" s="11"/>
      <c r="H234" s="12"/>
      <c r="I234" s="10"/>
      <c r="J234" s="12"/>
      <c r="K234" s="11"/>
      <c r="L234" s="13">
        <f>IF(G234="","",IF(I234="Sold",IF(K234="","",K234-G234),TODAY()-G234))</f>
      </c>
      <c r="M234" s="14">
        <f>IF(J234="","",J234-E234)</f>
      </c>
      <c r="N234" s="13">
        <f>IF(OR(G234="",I234&lt;&gt;"Listed"),"",IF(TODAY()-G234&gt;60,"Reprice or move it",IF(TODAY()-G234&gt;30,"Check price","")))</f>
      </c>
    </row>
    <row r="235" spans="1:14" x14ac:dyDescent="0.25">
      <c r="A235" s="10"/>
      <c r="B235" s="10"/>
      <c r="C235" s="10"/>
      <c r="D235" s="11"/>
      <c r="E235" s="12"/>
      <c r="F235" s="10"/>
      <c r="G235" s="11"/>
      <c r="H235" s="12"/>
      <c r="I235" s="10"/>
      <c r="J235" s="12"/>
      <c r="K235" s="11"/>
      <c r="L235" s="13">
        <f>IF(G235="","",IF(I235="Sold",IF(K235="","",K235-G235),TODAY()-G235))</f>
      </c>
      <c r="M235" s="14">
        <f>IF(J235="","",J235-E235)</f>
      </c>
      <c r="N235" s="13">
        <f>IF(OR(G235="",I235&lt;&gt;"Listed"),"",IF(TODAY()-G235&gt;60,"Reprice or move it",IF(TODAY()-G235&gt;30,"Check price","")))</f>
      </c>
    </row>
    <row r="236" spans="1:14" x14ac:dyDescent="0.25">
      <c r="A236" s="10"/>
      <c r="B236" s="10"/>
      <c r="C236" s="10"/>
      <c r="D236" s="11"/>
      <c r="E236" s="12"/>
      <c r="F236" s="10"/>
      <c r="G236" s="11"/>
      <c r="H236" s="12"/>
      <c r="I236" s="10"/>
      <c r="J236" s="12"/>
      <c r="K236" s="11"/>
      <c r="L236" s="13">
        <f>IF(G236="","",IF(I236="Sold",IF(K236="","",K236-G236),TODAY()-G236))</f>
      </c>
      <c r="M236" s="14">
        <f>IF(J236="","",J236-E236)</f>
      </c>
      <c r="N236" s="13">
        <f>IF(OR(G236="",I236&lt;&gt;"Listed"),"",IF(TODAY()-G236&gt;60,"Reprice or move it",IF(TODAY()-G236&gt;30,"Check price","")))</f>
      </c>
    </row>
    <row r="237" spans="1:14" x14ac:dyDescent="0.25">
      <c r="A237" s="10"/>
      <c r="B237" s="10"/>
      <c r="C237" s="10"/>
      <c r="D237" s="11"/>
      <c r="E237" s="12"/>
      <c r="F237" s="10"/>
      <c r="G237" s="11"/>
      <c r="H237" s="12"/>
      <c r="I237" s="10"/>
      <c r="J237" s="12"/>
      <c r="K237" s="11"/>
      <c r="L237" s="13">
        <f>IF(G237="","",IF(I237="Sold",IF(K237="","",K237-G237),TODAY()-G237))</f>
      </c>
      <c r="M237" s="14">
        <f>IF(J237="","",J237-E237)</f>
      </c>
      <c r="N237" s="13">
        <f>IF(OR(G237="",I237&lt;&gt;"Listed"),"",IF(TODAY()-G237&gt;60,"Reprice or move it",IF(TODAY()-G237&gt;30,"Check price","")))</f>
      </c>
    </row>
    <row r="238" spans="1:14" x14ac:dyDescent="0.25">
      <c r="A238" s="10"/>
      <c r="B238" s="10"/>
      <c r="C238" s="10"/>
      <c r="D238" s="11"/>
      <c r="E238" s="12"/>
      <c r="F238" s="10"/>
      <c r="G238" s="11"/>
      <c r="H238" s="12"/>
      <c r="I238" s="10"/>
      <c r="J238" s="12"/>
      <c r="K238" s="11"/>
      <c r="L238" s="13">
        <f>IF(G238="","",IF(I238="Sold",IF(K238="","",K238-G238),TODAY()-G238))</f>
      </c>
      <c r="M238" s="14">
        <f>IF(J238="","",J238-E238)</f>
      </c>
      <c r="N238" s="13">
        <f>IF(OR(G238="",I238&lt;&gt;"Listed"),"",IF(TODAY()-G238&gt;60,"Reprice or move it",IF(TODAY()-G238&gt;30,"Check price","")))</f>
      </c>
    </row>
    <row r="239" spans="1:14" x14ac:dyDescent="0.25">
      <c r="A239" s="10"/>
      <c r="B239" s="10"/>
      <c r="C239" s="10"/>
      <c r="D239" s="11"/>
      <c r="E239" s="12"/>
      <c r="F239" s="10"/>
      <c r="G239" s="11"/>
      <c r="H239" s="12"/>
      <c r="I239" s="10"/>
      <c r="J239" s="12"/>
      <c r="K239" s="11"/>
      <c r="L239" s="13">
        <f>IF(G239="","",IF(I239="Sold",IF(K239="","",K239-G239),TODAY()-G239))</f>
      </c>
      <c r="M239" s="14">
        <f>IF(J239="","",J239-E239)</f>
      </c>
      <c r="N239" s="13">
        <f>IF(OR(G239="",I239&lt;&gt;"Listed"),"",IF(TODAY()-G239&gt;60,"Reprice or move it",IF(TODAY()-G239&gt;30,"Check price","")))</f>
      </c>
    </row>
    <row r="240" spans="1:14" x14ac:dyDescent="0.25">
      <c r="A240" s="10"/>
      <c r="B240" s="10"/>
      <c r="C240" s="10"/>
      <c r="D240" s="11"/>
      <c r="E240" s="12"/>
      <c r="F240" s="10"/>
      <c r="G240" s="11"/>
      <c r="H240" s="12"/>
      <c r="I240" s="10"/>
      <c r="J240" s="12"/>
      <c r="K240" s="11"/>
      <c r="L240" s="13">
        <f>IF(G240="","",IF(I240="Sold",IF(K240="","",K240-G240),TODAY()-G240))</f>
      </c>
      <c r="M240" s="14">
        <f>IF(J240="","",J240-E240)</f>
      </c>
      <c r="N240" s="13">
        <f>IF(OR(G240="",I240&lt;&gt;"Listed"),"",IF(TODAY()-G240&gt;60,"Reprice or move it",IF(TODAY()-G240&gt;30,"Check price","")))</f>
      </c>
    </row>
    <row r="241" spans="1:14" x14ac:dyDescent="0.25">
      <c r="A241" s="10"/>
      <c r="B241" s="10"/>
      <c r="C241" s="10"/>
      <c r="D241" s="11"/>
      <c r="E241" s="12"/>
      <c r="F241" s="10"/>
      <c r="G241" s="11"/>
      <c r="H241" s="12"/>
      <c r="I241" s="10"/>
      <c r="J241" s="12"/>
      <c r="K241" s="11"/>
      <c r="L241" s="13">
        <f>IF(G241="","",IF(I241="Sold",IF(K241="","",K241-G241),TODAY()-G241))</f>
      </c>
      <c r="M241" s="14">
        <f>IF(J241="","",J241-E241)</f>
      </c>
      <c r="N241" s="13">
        <f>IF(OR(G241="",I241&lt;&gt;"Listed"),"",IF(TODAY()-G241&gt;60,"Reprice or move it",IF(TODAY()-G241&gt;30,"Check price","")))</f>
      </c>
    </row>
    <row r="242" spans="1:14" x14ac:dyDescent="0.25">
      <c r="A242" s="10"/>
      <c r="B242" s="10"/>
      <c r="C242" s="10"/>
      <c r="D242" s="11"/>
      <c r="E242" s="12"/>
      <c r="F242" s="10"/>
      <c r="G242" s="11"/>
      <c r="H242" s="12"/>
      <c r="I242" s="10"/>
      <c r="J242" s="12"/>
      <c r="K242" s="11"/>
      <c r="L242" s="13">
        <f>IF(G242="","",IF(I242="Sold",IF(K242="","",K242-G242),TODAY()-G242))</f>
      </c>
      <c r="M242" s="14">
        <f>IF(J242="","",J242-E242)</f>
      </c>
      <c r="N242" s="13">
        <f>IF(OR(G242="",I242&lt;&gt;"Listed"),"",IF(TODAY()-G242&gt;60,"Reprice or move it",IF(TODAY()-G242&gt;30,"Check price","")))</f>
      </c>
    </row>
    <row r="243" spans="1:14" x14ac:dyDescent="0.25">
      <c r="A243" s="10"/>
      <c r="B243" s="10"/>
      <c r="C243" s="10"/>
      <c r="D243" s="11"/>
      <c r="E243" s="12"/>
      <c r="F243" s="10"/>
      <c r="G243" s="11"/>
      <c r="H243" s="12"/>
      <c r="I243" s="10"/>
      <c r="J243" s="12"/>
      <c r="K243" s="11"/>
      <c r="L243" s="13">
        <f>IF(G243="","",IF(I243="Sold",IF(K243="","",K243-G243),TODAY()-G243))</f>
      </c>
      <c r="M243" s="14">
        <f>IF(J243="","",J243-E243)</f>
      </c>
      <c r="N243" s="13">
        <f>IF(OR(G243="",I243&lt;&gt;"Listed"),"",IF(TODAY()-G243&gt;60,"Reprice or move it",IF(TODAY()-G243&gt;30,"Check price","")))</f>
      </c>
    </row>
    <row r="244" spans="1:14" x14ac:dyDescent="0.25">
      <c r="A244" s="10"/>
      <c r="B244" s="10"/>
      <c r="C244" s="10"/>
      <c r="D244" s="11"/>
      <c r="E244" s="12"/>
      <c r="F244" s="10"/>
      <c r="G244" s="11"/>
      <c r="H244" s="12"/>
      <c r="I244" s="10"/>
      <c r="J244" s="12"/>
      <c r="K244" s="11"/>
      <c r="L244" s="13">
        <f>IF(G244="","",IF(I244="Sold",IF(K244="","",K244-G244),TODAY()-G244))</f>
      </c>
      <c r="M244" s="14">
        <f>IF(J244="","",J244-E244)</f>
      </c>
      <c r="N244" s="13">
        <f>IF(OR(G244="",I244&lt;&gt;"Listed"),"",IF(TODAY()-G244&gt;60,"Reprice or move it",IF(TODAY()-G244&gt;30,"Check price","")))</f>
      </c>
    </row>
    <row r="245" spans="1:14" x14ac:dyDescent="0.25">
      <c r="A245" s="10"/>
      <c r="B245" s="10"/>
      <c r="C245" s="10"/>
      <c r="D245" s="11"/>
      <c r="E245" s="12"/>
      <c r="F245" s="10"/>
      <c r="G245" s="11"/>
      <c r="H245" s="12"/>
      <c r="I245" s="10"/>
      <c r="J245" s="12"/>
      <c r="K245" s="11"/>
      <c r="L245" s="13">
        <f>IF(G245="","",IF(I245="Sold",IF(K245="","",K245-G245),TODAY()-G245))</f>
      </c>
      <c r="M245" s="14">
        <f>IF(J245="","",J245-E245)</f>
      </c>
      <c r="N245" s="13">
        <f>IF(OR(G245="",I245&lt;&gt;"Listed"),"",IF(TODAY()-G245&gt;60,"Reprice or move it",IF(TODAY()-G245&gt;30,"Check price","")))</f>
      </c>
    </row>
    <row r="246" spans="1:14" x14ac:dyDescent="0.25">
      <c r="A246" s="10"/>
      <c r="B246" s="10"/>
      <c r="C246" s="10"/>
      <c r="D246" s="11"/>
      <c r="E246" s="12"/>
      <c r="F246" s="10"/>
      <c r="G246" s="11"/>
      <c r="H246" s="12"/>
      <c r="I246" s="10"/>
      <c r="J246" s="12"/>
      <c r="K246" s="11"/>
      <c r="L246" s="13">
        <f>IF(G246="","",IF(I246="Sold",IF(K246="","",K246-G246),TODAY()-G246))</f>
      </c>
      <c r="M246" s="14">
        <f>IF(J246="","",J246-E246)</f>
      </c>
      <c r="N246" s="13">
        <f>IF(OR(G246="",I246&lt;&gt;"Listed"),"",IF(TODAY()-G246&gt;60,"Reprice or move it",IF(TODAY()-G246&gt;30,"Check price","")))</f>
      </c>
    </row>
    <row r="247" spans="1:14" x14ac:dyDescent="0.25">
      <c r="A247" s="10"/>
      <c r="B247" s="10"/>
      <c r="C247" s="10"/>
      <c r="D247" s="11"/>
      <c r="E247" s="12"/>
      <c r="F247" s="10"/>
      <c r="G247" s="11"/>
      <c r="H247" s="12"/>
      <c r="I247" s="10"/>
      <c r="J247" s="12"/>
      <c r="K247" s="11"/>
      <c r="L247" s="13">
        <f>IF(G247="","",IF(I247="Sold",IF(K247="","",K247-G247),TODAY()-G247))</f>
      </c>
      <c r="M247" s="14">
        <f>IF(J247="","",J247-E247)</f>
      </c>
      <c r="N247" s="13">
        <f>IF(OR(G247="",I247&lt;&gt;"Listed"),"",IF(TODAY()-G247&gt;60,"Reprice or move it",IF(TODAY()-G247&gt;30,"Check price","")))</f>
      </c>
    </row>
    <row r="248" spans="1:14" x14ac:dyDescent="0.25">
      <c r="A248" s="10"/>
      <c r="B248" s="10"/>
      <c r="C248" s="10"/>
      <c r="D248" s="11"/>
      <c r="E248" s="12"/>
      <c r="F248" s="10"/>
      <c r="G248" s="11"/>
      <c r="H248" s="12"/>
      <c r="I248" s="10"/>
      <c r="J248" s="12"/>
      <c r="K248" s="11"/>
      <c r="L248" s="13">
        <f>IF(G248="","",IF(I248="Sold",IF(K248="","",K248-G248),TODAY()-G248))</f>
      </c>
      <c r="M248" s="14">
        <f>IF(J248="","",J248-E248)</f>
      </c>
      <c r="N248" s="13">
        <f>IF(OR(G248="",I248&lt;&gt;"Listed"),"",IF(TODAY()-G248&gt;60,"Reprice or move it",IF(TODAY()-G248&gt;30,"Check price","")))</f>
      </c>
    </row>
    <row r="249" spans="1:14" x14ac:dyDescent="0.25">
      <c r="A249" s="10"/>
      <c r="B249" s="10"/>
      <c r="C249" s="10"/>
      <c r="D249" s="11"/>
      <c r="E249" s="12"/>
      <c r="F249" s="10"/>
      <c r="G249" s="11"/>
      <c r="H249" s="12"/>
      <c r="I249" s="10"/>
      <c r="J249" s="12"/>
      <c r="K249" s="11"/>
      <c r="L249" s="13">
        <f>IF(G249="","",IF(I249="Sold",IF(K249="","",K249-G249),TODAY()-G249))</f>
      </c>
      <c r="M249" s="14">
        <f>IF(J249="","",J249-E249)</f>
      </c>
      <c r="N249" s="13">
        <f>IF(OR(G249="",I249&lt;&gt;"Listed"),"",IF(TODAY()-G249&gt;60,"Reprice or move it",IF(TODAY()-G249&gt;30,"Check price","")))</f>
      </c>
    </row>
    <row r="250" spans="1:14" x14ac:dyDescent="0.25">
      <c r="A250" s="10"/>
      <c r="B250" s="10"/>
      <c r="C250" s="10"/>
      <c r="D250" s="11"/>
      <c r="E250" s="12"/>
      <c r="F250" s="10"/>
      <c r="G250" s="11"/>
      <c r="H250" s="12"/>
      <c r="I250" s="10"/>
      <c r="J250" s="12"/>
      <c r="K250" s="11"/>
      <c r="L250" s="13">
        <f>IF(G250="","",IF(I250="Sold",IF(K250="","",K250-G250),TODAY()-G250))</f>
      </c>
      <c r="M250" s="14">
        <f>IF(J250="","",J250-E250)</f>
      </c>
      <c r="N250" s="13">
        <f>IF(OR(G250="",I250&lt;&gt;"Listed"),"",IF(TODAY()-G250&gt;60,"Reprice or move it",IF(TODAY()-G250&gt;30,"Check price","")))</f>
      </c>
    </row>
    <row r="251" spans="1:14" x14ac:dyDescent="0.25">
      <c r="A251" s="10"/>
      <c r="B251" s="10"/>
      <c r="C251" s="10"/>
      <c r="D251" s="11"/>
      <c r="E251" s="12"/>
      <c r="F251" s="10"/>
      <c r="G251" s="11"/>
      <c r="H251" s="12"/>
      <c r="I251" s="10"/>
      <c r="J251" s="12"/>
      <c r="K251" s="11"/>
      <c r="L251" s="13">
        <f>IF(G251="","",IF(I251="Sold",IF(K251="","",K251-G251),TODAY()-G251))</f>
      </c>
      <c r="M251" s="14">
        <f>IF(J251="","",J251-E251)</f>
      </c>
      <c r="N251" s="13">
        <f>IF(OR(G251="",I251&lt;&gt;"Listed"),"",IF(TODAY()-G251&gt;60,"Reprice or move it",IF(TODAY()-G251&gt;30,"Check price","")))</f>
      </c>
    </row>
    <row r="252" spans="1:14" x14ac:dyDescent="0.25">
      <c r="A252" s="10"/>
      <c r="B252" s="10"/>
      <c r="C252" s="10"/>
      <c r="D252" s="11"/>
      <c r="E252" s="12"/>
      <c r="F252" s="10"/>
      <c r="G252" s="11"/>
      <c r="H252" s="12"/>
      <c r="I252" s="10"/>
      <c r="J252" s="12"/>
      <c r="K252" s="11"/>
      <c r="L252" s="13">
        <f>IF(G252="","",IF(I252="Sold",IF(K252="","",K252-G252),TODAY()-G252))</f>
      </c>
      <c r="M252" s="14">
        <f>IF(J252="","",J252-E252)</f>
      </c>
      <c r="N252" s="13">
        <f>IF(OR(G252="",I252&lt;&gt;"Listed"),"",IF(TODAY()-G252&gt;60,"Reprice or move it",IF(TODAY()-G252&gt;30,"Check price","")))</f>
      </c>
    </row>
    <row r="253" spans="1:14" x14ac:dyDescent="0.25">
      <c r="A253" s="10"/>
      <c r="B253" s="10"/>
      <c r="C253" s="10"/>
      <c r="D253" s="11"/>
      <c r="E253" s="12"/>
      <c r="F253" s="10"/>
      <c r="G253" s="11"/>
      <c r="H253" s="12"/>
      <c r="I253" s="10"/>
      <c r="J253" s="12"/>
      <c r="K253" s="11"/>
      <c r="L253" s="13">
        <f>IF(G253="","",IF(I253="Sold",IF(K253="","",K253-G253),TODAY()-G253))</f>
      </c>
      <c r="M253" s="14">
        <f>IF(J253="","",J253-E253)</f>
      </c>
      <c r="N253" s="13">
        <f>IF(OR(G253="",I253&lt;&gt;"Listed"),"",IF(TODAY()-G253&gt;60,"Reprice or move it",IF(TODAY()-G253&gt;30,"Check price","")))</f>
      </c>
    </row>
    <row r="254" spans="1:14" x14ac:dyDescent="0.25">
      <c r="A254" s="10"/>
      <c r="B254" s="10"/>
      <c r="C254" s="10"/>
      <c r="D254" s="11"/>
      <c r="E254" s="12"/>
      <c r="F254" s="10"/>
      <c r="G254" s="11"/>
      <c r="H254" s="12"/>
      <c r="I254" s="10"/>
      <c r="J254" s="12"/>
      <c r="K254" s="11"/>
      <c r="L254" s="13">
        <f>IF(G254="","",IF(I254="Sold",IF(K254="","",K254-G254),TODAY()-G254))</f>
      </c>
      <c r="M254" s="14">
        <f>IF(J254="","",J254-E254)</f>
      </c>
      <c r="N254" s="13">
        <f>IF(OR(G254="",I254&lt;&gt;"Listed"),"",IF(TODAY()-G254&gt;60,"Reprice or move it",IF(TODAY()-G254&gt;30,"Check price","")))</f>
      </c>
    </row>
    <row r="255" spans="1:14" x14ac:dyDescent="0.25">
      <c r="A255" s="10"/>
      <c r="B255" s="10"/>
      <c r="C255" s="10"/>
      <c r="D255" s="11"/>
      <c r="E255" s="12"/>
      <c r="F255" s="10"/>
      <c r="G255" s="11"/>
      <c r="H255" s="12"/>
      <c r="I255" s="10"/>
      <c r="J255" s="12"/>
      <c r="K255" s="11"/>
      <c r="L255" s="13">
        <f>IF(G255="","",IF(I255="Sold",IF(K255="","",K255-G255),TODAY()-G255))</f>
      </c>
      <c r="M255" s="14">
        <f>IF(J255="","",J255-E255)</f>
      </c>
      <c r="N255" s="13">
        <f>IF(OR(G255="",I255&lt;&gt;"Listed"),"",IF(TODAY()-G255&gt;60,"Reprice or move it",IF(TODAY()-G255&gt;30,"Check price","")))</f>
      </c>
    </row>
    <row r="256" spans="1:14" x14ac:dyDescent="0.25">
      <c r="A256" s="10"/>
      <c r="B256" s="10"/>
      <c r="C256" s="10"/>
      <c r="D256" s="11"/>
      <c r="E256" s="12"/>
      <c r="F256" s="10"/>
      <c r="G256" s="11"/>
      <c r="H256" s="12"/>
      <c r="I256" s="10"/>
      <c r="J256" s="12"/>
      <c r="K256" s="11"/>
      <c r="L256" s="13">
        <f>IF(G256="","",IF(I256="Sold",IF(K256="","",K256-G256),TODAY()-G256))</f>
      </c>
      <c r="M256" s="14">
        <f>IF(J256="","",J256-E256)</f>
      </c>
      <c r="N256" s="13">
        <f>IF(OR(G256="",I256&lt;&gt;"Listed"),"",IF(TODAY()-G256&gt;60,"Reprice or move it",IF(TODAY()-G256&gt;30,"Check price","")))</f>
      </c>
    </row>
    <row r="257" spans="1:14" x14ac:dyDescent="0.25">
      <c r="A257" s="10"/>
      <c r="B257" s="10"/>
      <c r="C257" s="10"/>
      <c r="D257" s="11"/>
      <c r="E257" s="12"/>
      <c r="F257" s="10"/>
      <c r="G257" s="11"/>
      <c r="H257" s="12"/>
      <c r="I257" s="10"/>
      <c r="J257" s="12"/>
      <c r="K257" s="11"/>
      <c r="L257" s="13">
        <f>IF(G257="","",IF(I257="Sold",IF(K257="","",K257-G257),TODAY()-G257))</f>
      </c>
      <c r="M257" s="14">
        <f>IF(J257="","",J257-E257)</f>
      </c>
      <c r="N257" s="13">
        <f>IF(OR(G257="",I257&lt;&gt;"Listed"),"",IF(TODAY()-G257&gt;60,"Reprice or move it",IF(TODAY()-G257&gt;30,"Check price","")))</f>
      </c>
    </row>
    <row r="258" spans="1:14" x14ac:dyDescent="0.25">
      <c r="A258" s="10"/>
      <c r="B258" s="10"/>
      <c r="C258" s="10"/>
      <c r="D258" s="11"/>
      <c r="E258" s="12"/>
      <c r="F258" s="10"/>
      <c r="G258" s="11"/>
      <c r="H258" s="12"/>
      <c r="I258" s="10"/>
      <c r="J258" s="12"/>
      <c r="K258" s="11"/>
      <c r="L258" s="13">
        <f>IF(G258="","",IF(I258="Sold",IF(K258="","",K258-G258),TODAY()-G258))</f>
      </c>
      <c r="M258" s="14">
        <f>IF(J258="","",J258-E258)</f>
      </c>
      <c r="N258" s="13">
        <f>IF(OR(G258="",I258&lt;&gt;"Listed"),"",IF(TODAY()-G258&gt;60,"Reprice or move it",IF(TODAY()-G258&gt;30,"Check price","")))</f>
      </c>
    </row>
    <row r="259" spans="1:14" x14ac:dyDescent="0.25">
      <c r="A259" s="10"/>
      <c r="B259" s="10"/>
      <c r="C259" s="10"/>
      <c r="D259" s="11"/>
      <c r="E259" s="12"/>
      <c r="F259" s="10"/>
      <c r="G259" s="11"/>
      <c r="H259" s="12"/>
      <c r="I259" s="10"/>
      <c r="J259" s="12"/>
      <c r="K259" s="11"/>
      <c r="L259" s="13">
        <f>IF(G259="","",IF(I259="Sold",IF(K259="","",K259-G259),TODAY()-G259))</f>
      </c>
      <c r="M259" s="14">
        <f>IF(J259="","",J259-E259)</f>
      </c>
      <c r="N259" s="13">
        <f>IF(OR(G259="",I259&lt;&gt;"Listed"),"",IF(TODAY()-G259&gt;60,"Reprice or move it",IF(TODAY()-G259&gt;30,"Check price","")))</f>
      </c>
    </row>
    <row r="260" spans="1:14" x14ac:dyDescent="0.25">
      <c r="A260" s="10"/>
      <c r="B260" s="10"/>
      <c r="C260" s="10"/>
      <c r="D260" s="11"/>
      <c r="E260" s="12"/>
      <c r="F260" s="10"/>
      <c r="G260" s="11"/>
      <c r="H260" s="12"/>
      <c r="I260" s="10"/>
      <c r="J260" s="12"/>
      <c r="K260" s="11"/>
      <c r="L260" s="13">
        <f>IF(G260="","",IF(I260="Sold",IF(K260="","",K260-G260),TODAY()-G260))</f>
      </c>
      <c r="M260" s="14">
        <f>IF(J260="","",J260-E260)</f>
      </c>
      <c r="N260" s="13">
        <f>IF(OR(G260="",I260&lt;&gt;"Listed"),"",IF(TODAY()-G260&gt;60,"Reprice or move it",IF(TODAY()-G260&gt;30,"Check price","")))</f>
      </c>
    </row>
    <row r="261" spans="1:14" x14ac:dyDescent="0.25">
      <c r="A261" s="10"/>
      <c r="B261" s="10"/>
      <c r="C261" s="10"/>
      <c r="D261" s="11"/>
      <c r="E261" s="12"/>
      <c r="F261" s="10"/>
      <c r="G261" s="11"/>
      <c r="H261" s="12"/>
      <c r="I261" s="10"/>
      <c r="J261" s="12"/>
      <c r="K261" s="11"/>
      <c r="L261" s="13">
        <f>IF(G261="","",IF(I261="Sold",IF(K261="","",K261-G261),TODAY()-G261))</f>
      </c>
      <c r="M261" s="14">
        <f>IF(J261="","",J261-E261)</f>
      </c>
      <c r="N261" s="13">
        <f>IF(OR(G261="",I261&lt;&gt;"Listed"),"",IF(TODAY()-G261&gt;60,"Reprice or move it",IF(TODAY()-G261&gt;30,"Check price","")))</f>
      </c>
    </row>
    <row r="262" spans="1:14" x14ac:dyDescent="0.25">
      <c r="A262" s="10"/>
      <c r="B262" s="10"/>
      <c r="C262" s="10"/>
      <c r="D262" s="11"/>
      <c r="E262" s="12"/>
      <c r="F262" s="10"/>
      <c r="G262" s="11"/>
      <c r="H262" s="12"/>
      <c r="I262" s="10"/>
      <c r="J262" s="12"/>
      <c r="K262" s="11"/>
      <c r="L262" s="13">
        <f>IF(G262="","",IF(I262="Sold",IF(K262="","",K262-G262),TODAY()-G262))</f>
      </c>
      <c r="M262" s="14">
        <f>IF(J262="","",J262-E262)</f>
      </c>
      <c r="N262" s="13">
        <f>IF(OR(G262="",I262&lt;&gt;"Listed"),"",IF(TODAY()-G262&gt;60,"Reprice or move it",IF(TODAY()-G262&gt;30,"Check price","")))</f>
      </c>
    </row>
    <row r="263" spans="1:14" x14ac:dyDescent="0.25">
      <c r="A263" s="10"/>
      <c r="B263" s="10"/>
      <c r="C263" s="10"/>
      <c r="D263" s="11"/>
      <c r="E263" s="12"/>
      <c r="F263" s="10"/>
      <c r="G263" s="11"/>
      <c r="H263" s="12"/>
      <c r="I263" s="10"/>
      <c r="J263" s="12"/>
      <c r="K263" s="11"/>
      <c r="L263" s="13">
        <f>IF(G263="","",IF(I263="Sold",IF(K263="","",K263-G263),TODAY()-G263))</f>
      </c>
      <c r="M263" s="14">
        <f>IF(J263="","",J263-E263)</f>
      </c>
      <c r="N263" s="13">
        <f>IF(OR(G263="",I263&lt;&gt;"Listed"),"",IF(TODAY()-G263&gt;60,"Reprice or move it",IF(TODAY()-G263&gt;30,"Check price","")))</f>
      </c>
    </row>
    <row r="264" spans="1:14" x14ac:dyDescent="0.25">
      <c r="A264" s="10"/>
      <c r="B264" s="10"/>
      <c r="C264" s="10"/>
      <c r="D264" s="11"/>
      <c r="E264" s="12"/>
      <c r="F264" s="10"/>
      <c r="G264" s="11"/>
      <c r="H264" s="12"/>
      <c r="I264" s="10"/>
      <c r="J264" s="12"/>
      <c r="K264" s="11"/>
      <c r="L264" s="13">
        <f>IF(G264="","",IF(I264="Sold",IF(K264="","",K264-G264),TODAY()-G264))</f>
      </c>
      <c r="M264" s="14">
        <f>IF(J264="","",J264-E264)</f>
      </c>
      <c r="N264" s="13">
        <f>IF(OR(G264="",I264&lt;&gt;"Listed"),"",IF(TODAY()-G264&gt;60,"Reprice or move it",IF(TODAY()-G264&gt;30,"Check price","")))</f>
      </c>
    </row>
    <row r="265" spans="1:14" x14ac:dyDescent="0.25">
      <c r="A265" s="10"/>
      <c r="B265" s="10"/>
      <c r="C265" s="10"/>
      <c r="D265" s="11"/>
      <c r="E265" s="12"/>
      <c r="F265" s="10"/>
      <c r="G265" s="11"/>
      <c r="H265" s="12"/>
      <c r="I265" s="10"/>
      <c r="J265" s="12"/>
      <c r="K265" s="11"/>
      <c r="L265" s="13">
        <f>IF(G265="","",IF(I265="Sold",IF(K265="","",K265-G265),TODAY()-G265))</f>
      </c>
      <c r="M265" s="14">
        <f>IF(J265="","",J265-E265)</f>
      </c>
      <c r="N265" s="13">
        <f>IF(OR(G265="",I265&lt;&gt;"Listed"),"",IF(TODAY()-G265&gt;60,"Reprice or move it",IF(TODAY()-G265&gt;30,"Check price","")))</f>
      </c>
    </row>
    <row r="266" spans="1:14" x14ac:dyDescent="0.25">
      <c r="A266" s="10"/>
      <c r="B266" s="10"/>
      <c r="C266" s="10"/>
      <c r="D266" s="11"/>
      <c r="E266" s="12"/>
      <c r="F266" s="10"/>
      <c r="G266" s="11"/>
      <c r="H266" s="12"/>
      <c r="I266" s="10"/>
      <c r="J266" s="12"/>
      <c r="K266" s="11"/>
      <c r="L266" s="13">
        <f>IF(G266="","",IF(I266="Sold",IF(K266="","",K266-G266),TODAY()-G266))</f>
      </c>
      <c r="M266" s="14">
        <f>IF(J266="","",J266-E266)</f>
      </c>
      <c r="N266" s="13">
        <f>IF(OR(G266="",I266&lt;&gt;"Listed"),"",IF(TODAY()-G266&gt;60,"Reprice or move it",IF(TODAY()-G266&gt;30,"Check price","")))</f>
      </c>
    </row>
    <row r="267" spans="1:14" x14ac:dyDescent="0.25">
      <c r="A267" s="10"/>
      <c r="B267" s="10"/>
      <c r="C267" s="10"/>
      <c r="D267" s="11"/>
      <c r="E267" s="12"/>
      <c r="F267" s="10"/>
      <c r="G267" s="11"/>
      <c r="H267" s="12"/>
      <c r="I267" s="10"/>
      <c r="J267" s="12"/>
      <c r="K267" s="11"/>
      <c r="L267" s="13">
        <f>IF(G267="","",IF(I267="Sold",IF(K267="","",K267-G267),TODAY()-G267))</f>
      </c>
      <c r="M267" s="14">
        <f>IF(J267="","",J267-E267)</f>
      </c>
      <c r="N267" s="13">
        <f>IF(OR(G267="",I267&lt;&gt;"Listed"),"",IF(TODAY()-G267&gt;60,"Reprice or move it",IF(TODAY()-G267&gt;30,"Check price","")))</f>
      </c>
    </row>
    <row r="268" spans="1:14" x14ac:dyDescent="0.25">
      <c r="A268" s="10"/>
      <c r="B268" s="10"/>
      <c r="C268" s="10"/>
      <c r="D268" s="11"/>
      <c r="E268" s="12"/>
      <c r="F268" s="10"/>
      <c r="G268" s="11"/>
      <c r="H268" s="12"/>
      <c r="I268" s="10"/>
      <c r="J268" s="12"/>
      <c r="K268" s="11"/>
      <c r="L268" s="13">
        <f>IF(G268="","",IF(I268="Sold",IF(K268="","",K268-G268),TODAY()-G268))</f>
      </c>
      <c r="M268" s="14">
        <f>IF(J268="","",J268-E268)</f>
      </c>
      <c r="N268" s="13">
        <f>IF(OR(G268="",I268&lt;&gt;"Listed"),"",IF(TODAY()-G268&gt;60,"Reprice or move it",IF(TODAY()-G268&gt;30,"Check price","")))</f>
      </c>
    </row>
    <row r="269" spans="1:14" x14ac:dyDescent="0.25">
      <c r="A269" s="10"/>
      <c r="B269" s="10"/>
      <c r="C269" s="10"/>
      <c r="D269" s="11"/>
      <c r="E269" s="12"/>
      <c r="F269" s="10"/>
      <c r="G269" s="11"/>
      <c r="H269" s="12"/>
      <c r="I269" s="10"/>
      <c r="J269" s="12"/>
      <c r="K269" s="11"/>
      <c r="L269" s="13">
        <f>IF(G269="","",IF(I269="Sold",IF(K269="","",K269-G269),TODAY()-G269))</f>
      </c>
      <c r="M269" s="14">
        <f>IF(J269="","",J269-E269)</f>
      </c>
      <c r="N269" s="13">
        <f>IF(OR(G269="",I269&lt;&gt;"Listed"),"",IF(TODAY()-G269&gt;60,"Reprice or move it",IF(TODAY()-G269&gt;30,"Check price","")))</f>
      </c>
    </row>
    <row r="270" spans="1:14" x14ac:dyDescent="0.25">
      <c r="A270" s="10"/>
      <c r="B270" s="10"/>
      <c r="C270" s="10"/>
      <c r="D270" s="11"/>
      <c r="E270" s="12"/>
      <c r="F270" s="10"/>
      <c r="G270" s="11"/>
      <c r="H270" s="12"/>
      <c r="I270" s="10"/>
      <c r="J270" s="12"/>
      <c r="K270" s="11"/>
      <c r="L270" s="13">
        <f>IF(G270="","",IF(I270="Sold",IF(K270="","",K270-G270),TODAY()-G270))</f>
      </c>
      <c r="M270" s="14">
        <f>IF(J270="","",J270-E270)</f>
      </c>
      <c r="N270" s="13">
        <f>IF(OR(G270="",I270&lt;&gt;"Listed"),"",IF(TODAY()-G270&gt;60,"Reprice or move it",IF(TODAY()-G270&gt;30,"Check price","")))</f>
      </c>
    </row>
    <row r="271" spans="1:14" x14ac:dyDescent="0.25">
      <c r="A271" s="10"/>
      <c r="B271" s="10"/>
      <c r="C271" s="10"/>
      <c r="D271" s="11"/>
      <c r="E271" s="12"/>
      <c r="F271" s="10"/>
      <c r="G271" s="11"/>
      <c r="H271" s="12"/>
      <c r="I271" s="10"/>
      <c r="J271" s="12"/>
      <c r="K271" s="11"/>
      <c r="L271" s="13">
        <f>IF(G271="","",IF(I271="Sold",IF(K271="","",K271-G271),TODAY()-G271))</f>
      </c>
      <c r="M271" s="14">
        <f>IF(J271="","",J271-E271)</f>
      </c>
      <c r="N271" s="13">
        <f>IF(OR(G271="",I271&lt;&gt;"Listed"),"",IF(TODAY()-G271&gt;60,"Reprice or move it",IF(TODAY()-G271&gt;30,"Check price","")))</f>
      </c>
    </row>
    <row r="272" spans="1:14" x14ac:dyDescent="0.25">
      <c r="A272" s="10"/>
      <c r="B272" s="10"/>
      <c r="C272" s="10"/>
      <c r="D272" s="11"/>
      <c r="E272" s="12"/>
      <c r="F272" s="10"/>
      <c r="G272" s="11"/>
      <c r="H272" s="12"/>
      <c r="I272" s="10"/>
      <c r="J272" s="12"/>
      <c r="K272" s="11"/>
      <c r="L272" s="13">
        <f>IF(G272="","",IF(I272="Sold",IF(K272="","",K272-G272),TODAY()-G272))</f>
      </c>
      <c r="M272" s="14">
        <f>IF(J272="","",J272-E272)</f>
      </c>
      <c r="N272" s="13">
        <f>IF(OR(G272="",I272&lt;&gt;"Listed"),"",IF(TODAY()-G272&gt;60,"Reprice or move it",IF(TODAY()-G272&gt;30,"Check price","")))</f>
      </c>
    </row>
    <row r="273" spans="1:14" x14ac:dyDescent="0.25">
      <c r="A273" s="10"/>
      <c r="B273" s="10"/>
      <c r="C273" s="10"/>
      <c r="D273" s="11"/>
      <c r="E273" s="12"/>
      <c r="F273" s="10"/>
      <c r="G273" s="11"/>
      <c r="H273" s="12"/>
      <c r="I273" s="10"/>
      <c r="J273" s="12"/>
      <c r="K273" s="11"/>
      <c r="L273" s="13">
        <f>IF(G273="","",IF(I273="Sold",IF(K273="","",K273-G273),TODAY()-G273))</f>
      </c>
      <c r="M273" s="14">
        <f>IF(J273="","",J273-E273)</f>
      </c>
      <c r="N273" s="13">
        <f>IF(OR(G273="",I273&lt;&gt;"Listed"),"",IF(TODAY()-G273&gt;60,"Reprice or move it",IF(TODAY()-G273&gt;30,"Check price","")))</f>
      </c>
    </row>
    <row r="274" spans="1:14" x14ac:dyDescent="0.25">
      <c r="A274" s="10"/>
      <c r="B274" s="10"/>
      <c r="C274" s="10"/>
      <c r="D274" s="11"/>
      <c r="E274" s="12"/>
      <c r="F274" s="10"/>
      <c r="G274" s="11"/>
      <c r="H274" s="12"/>
      <c r="I274" s="10"/>
      <c r="J274" s="12"/>
      <c r="K274" s="11"/>
      <c r="L274" s="13">
        <f>IF(G274="","",IF(I274="Sold",IF(K274="","",K274-G274),TODAY()-G274))</f>
      </c>
      <c r="M274" s="14">
        <f>IF(J274="","",J274-E274)</f>
      </c>
      <c r="N274" s="13">
        <f>IF(OR(G274="",I274&lt;&gt;"Listed"),"",IF(TODAY()-G274&gt;60,"Reprice or move it",IF(TODAY()-G274&gt;30,"Check price","")))</f>
      </c>
    </row>
    <row r="275" spans="1:14" x14ac:dyDescent="0.25">
      <c r="A275" s="10"/>
      <c r="B275" s="10"/>
      <c r="C275" s="10"/>
      <c r="D275" s="11"/>
      <c r="E275" s="12"/>
      <c r="F275" s="10"/>
      <c r="G275" s="11"/>
      <c r="H275" s="12"/>
      <c r="I275" s="10"/>
      <c r="J275" s="12"/>
      <c r="K275" s="11"/>
      <c r="L275" s="13">
        <f>IF(G275="","",IF(I275="Sold",IF(K275="","",K275-G275),TODAY()-G275))</f>
      </c>
      <c r="M275" s="14">
        <f>IF(J275="","",J275-E275)</f>
      </c>
      <c r="N275" s="13">
        <f>IF(OR(G275="",I275&lt;&gt;"Listed"),"",IF(TODAY()-G275&gt;60,"Reprice or move it",IF(TODAY()-G275&gt;30,"Check price","")))</f>
      </c>
    </row>
    <row r="276" spans="1:14" x14ac:dyDescent="0.25">
      <c r="A276" s="10"/>
      <c r="B276" s="10"/>
      <c r="C276" s="10"/>
      <c r="D276" s="11"/>
      <c r="E276" s="12"/>
      <c r="F276" s="10"/>
      <c r="G276" s="11"/>
      <c r="H276" s="12"/>
      <c r="I276" s="10"/>
      <c r="J276" s="12"/>
      <c r="K276" s="11"/>
      <c r="L276" s="13">
        <f>IF(G276="","",IF(I276="Sold",IF(K276="","",K276-G276),TODAY()-G276))</f>
      </c>
      <c r="M276" s="14">
        <f>IF(J276="","",J276-E276)</f>
      </c>
      <c r="N276" s="13">
        <f>IF(OR(G276="",I276&lt;&gt;"Listed"),"",IF(TODAY()-G276&gt;60,"Reprice or move it",IF(TODAY()-G276&gt;30,"Check price","")))</f>
      </c>
    </row>
    <row r="277" spans="1:14" x14ac:dyDescent="0.25">
      <c r="A277" s="10"/>
      <c r="B277" s="10"/>
      <c r="C277" s="10"/>
      <c r="D277" s="11"/>
      <c r="E277" s="12"/>
      <c r="F277" s="10"/>
      <c r="G277" s="11"/>
      <c r="H277" s="12"/>
      <c r="I277" s="10"/>
      <c r="J277" s="12"/>
      <c r="K277" s="11"/>
      <c r="L277" s="13">
        <f>IF(G277="","",IF(I277="Sold",IF(K277="","",K277-G277),TODAY()-G277))</f>
      </c>
      <c r="M277" s="14">
        <f>IF(J277="","",J277-E277)</f>
      </c>
      <c r="N277" s="13">
        <f>IF(OR(G277="",I277&lt;&gt;"Listed"),"",IF(TODAY()-G277&gt;60,"Reprice or move it",IF(TODAY()-G277&gt;30,"Check price","")))</f>
      </c>
    </row>
    <row r="278" spans="1:14" x14ac:dyDescent="0.25">
      <c r="A278" s="10"/>
      <c r="B278" s="10"/>
      <c r="C278" s="10"/>
      <c r="D278" s="11"/>
      <c r="E278" s="12"/>
      <c r="F278" s="10"/>
      <c r="G278" s="11"/>
      <c r="H278" s="12"/>
      <c r="I278" s="10"/>
      <c r="J278" s="12"/>
      <c r="K278" s="11"/>
      <c r="L278" s="13">
        <f>IF(G278="","",IF(I278="Sold",IF(K278="","",K278-G278),TODAY()-G278))</f>
      </c>
      <c r="M278" s="14">
        <f>IF(J278="","",J278-E278)</f>
      </c>
      <c r="N278" s="13">
        <f>IF(OR(G278="",I278&lt;&gt;"Listed"),"",IF(TODAY()-G278&gt;60,"Reprice or move it",IF(TODAY()-G278&gt;30,"Check price","")))</f>
      </c>
    </row>
    <row r="279" spans="1:14" x14ac:dyDescent="0.25">
      <c r="A279" s="10"/>
      <c r="B279" s="10"/>
      <c r="C279" s="10"/>
      <c r="D279" s="11"/>
      <c r="E279" s="12"/>
      <c r="F279" s="10"/>
      <c r="G279" s="11"/>
      <c r="H279" s="12"/>
      <c r="I279" s="10"/>
      <c r="J279" s="12"/>
      <c r="K279" s="11"/>
      <c r="L279" s="13">
        <f>IF(G279="","",IF(I279="Sold",IF(K279="","",K279-G279),TODAY()-G279))</f>
      </c>
      <c r="M279" s="14">
        <f>IF(J279="","",J279-E279)</f>
      </c>
      <c r="N279" s="13">
        <f>IF(OR(G279="",I279&lt;&gt;"Listed"),"",IF(TODAY()-G279&gt;60,"Reprice or move it",IF(TODAY()-G279&gt;30,"Check price","")))</f>
      </c>
    </row>
    <row r="280" spans="1:14" x14ac:dyDescent="0.25">
      <c r="A280" s="10"/>
      <c r="B280" s="10"/>
      <c r="C280" s="10"/>
      <c r="D280" s="11"/>
      <c r="E280" s="12"/>
      <c r="F280" s="10"/>
      <c r="G280" s="11"/>
      <c r="H280" s="12"/>
      <c r="I280" s="10"/>
      <c r="J280" s="12"/>
      <c r="K280" s="11"/>
      <c r="L280" s="13">
        <f>IF(G280="","",IF(I280="Sold",IF(K280="","",K280-G280),TODAY()-G280))</f>
      </c>
      <c r="M280" s="14">
        <f>IF(J280="","",J280-E280)</f>
      </c>
      <c r="N280" s="13">
        <f>IF(OR(G280="",I280&lt;&gt;"Listed"),"",IF(TODAY()-G280&gt;60,"Reprice or move it",IF(TODAY()-G280&gt;30,"Check price","")))</f>
      </c>
    </row>
    <row r="281" spans="1:14" x14ac:dyDescent="0.25">
      <c r="A281" s="10"/>
      <c r="B281" s="10"/>
      <c r="C281" s="10"/>
      <c r="D281" s="11"/>
      <c r="E281" s="12"/>
      <c r="F281" s="10"/>
      <c r="G281" s="11"/>
      <c r="H281" s="12"/>
      <c r="I281" s="10"/>
      <c r="J281" s="12"/>
      <c r="K281" s="11"/>
      <c r="L281" s="13">
        <f>IF(G281="","",IF(I281="Sold",IF(K281="","",K281-G281),TODAY()-G281))</f>
      </c>
      <c r="M281" s="14">
        <f>IF(J281="","",J281-E281)</f>
      </c>
      <c r="N281" s="13">
        <f>IF(OR(G281="",I281&lt;&gt;"Listed"),"",IF(TODAY()-G281&gt;60,"Reprice or move it",IF(TODAY()-G281&gt;30,"Check price","")))</f>
      </c>
    </row>
    <row r="282" spans="1:14" x14ac:dyDescent="0.25">
      <c r="A282" s="10"/>
      <c r="B282" s="10"/>
      <c r="C282" s="10"/>
      <c r="D282" s="11"/>
      <c r="E282" s="12"/>
      <c r="F282" s="10"/>
      <c r="G282" s="11"/>
      <c r="H282" s="12"/>
      <c r="I282" s="10"/>
      <c r="J282" s="12"/>
      <c r="K282" s="11"/>
      <c r="L282" s="13">
        <f>IF(G282="","",IF(I282="Sold",IF(K282="","",K282-G282),TODAY()-G282))</f>
      </c>
      <c r="M282" s="14">
        <f>IF(J282="","",J282-E282)</f>
      </c>
      <c r="N282" s="13">
        <f>IF(OR(G282="",I282&lt;&gt;"Listed"),"",IF(TODAY()-G282&gt;60,"Reprice or move it",IF(TODAY()-G282&gt;30,"Check price","")))</f>
      </c>
    </row>
    <row r="283" spans="1:14" x14ac:dyDescent="0.25">
      <c r="A283" s="10"/>
      <c r="B283" s="10"/>
      <c r="C283" s="10"/>
      <c r="D283" s="11"/>
      <c r="E283" s="12"/>
      <c r="F283" s="10"/>
      <c r="G283" s="11"/>
      <c r="H283" s="12"/>
      <c r="I283" s="10"/>
      <c r="J283" s="12"/>
      <c r="K283" s="11"/>
      <c r="L283" s="13">
        <f>IF(G283="","",IF(I283="Sold",IF(K283="","",K283-G283),TODAY()-G283))</f>
      </c>
      <c r="M283" s="14">
        <f>IF(J283="","",J283-E283)</f>
      </c>
      <c r="N283" s="13">
        <f>IF(OR(G283="",I283&lt;&gt;"Listed"),"",IF(TODAY()-G283&gt;60,"Reprice or move it",IF(TODAY()-G283&gt;30,"Check price","")))</f>
      </c>
    </row>
    <row r="284" spans="1:14" x14ac:dyDescent="0.25">
      <c r="A284" s="10"/>
      <c r="B284" s="10"/>
      <c r="C284" s="10"/>
      <c r="D284" s="11"/>
      <c r="E284" s="12"/>
      <c r="F284" s="10"/>
      <c r="G284" s="11"/>
      <c r="H284" s="12"/>
      <c r="I284" s="10"/>
      <c r="J284" s="12"/>
      <c r="K284" s="11"/>
      <c r="L284" s="13">
        <f>IF(G284="","",IF(I284="Sold",IF(K284="","",K284-G284),TODAY()-G284))</f>
      </c>
      <c r="M284" s="14">
        <f>IF(J284="","",J284-E284)</f>
      </c>
      <c r="N284" s="13">
        <f>IF(OR(G284="",I284&lt;&gt;"Listed"),"",IF(TODAY()-G284&gt;60,"Reprice or move it",IF(TODAY()-G284&gt;30,"Check price","")))</f>
      </c>
    </row>
    <row r="285" spans="1:14" x14ac:dyDescent="0.25">
      <c r="A285" s="10"/>
      <c r="B285" s="10"/>
      <c r="C285" s="10"/>
      <c r="D285" s="11"/>
      <c r="E285" s="12"/>
      <c r="F285" s="10"/>
      <c r="G285" s="11"/>
      <c r="H285" s="12"/>
      <c r="I285" s="10"/>
      <c r="J285" s="12"/>
      <c r="K285" s="11"/>
      <c r="L285" s="13">
        <f>IF(G285="","",IF(I285="Sold",IF(K285="","",K285-G285),TODAY()-G285))</f>
      </c>
      <c r="M285" s="14">
        <f>IF(J285="","",J285-E285)</f>
      </c>
      <c r="N285" s="13">
        <f>IF(OR(G285="",I285&lt;&gt;"Listed"),"",IF(TODAY()-G285&gt;60,"Reprice or move it",IF(TODAY()-G285&gt;30,"Check price","")))</f>
      </c>
    </row>
    <row r="286" spans="1:14" x14ac:dyDescent="0.25">
      <c r="A286" s="10"/>
      <c r="B286" s="10"/>
      <c r="C286" s="10"/>
      <c r="D286" s="11"/>
      <c r="E286" s="12"/>
      <c r="F286" s="10"/>
      <c r="G286" s="11"/>
      <c r="H286" s="12"/>
      <c r="I286" s="10"/>
      <c r="J286" s="12"/>
      <c r="K286" s="11"/>
      <c r="L286" s="13">
        <f>IF(G286="","",IF(I286="Sold",IF(K286="","",K286-G286),TODAY()-G286))</f>
      </c>
      <c r="M286" s="14">
        <f>IF(J286="","",J286-E286)</f>
      </c>
      <c r="N286" s="13">
        <f>IF(OR(G286="",I286&lt;&gt;"Listed"),"",IF(TODAY()-G286&gt;60,"Reprice or move it",IF(TODAY()-G286&gt;30,"Check price","")))</f>
      </c>
    </row>
    <row r="287" spans="1:14" x14ac:dyDescent="0.25">
      <c r="A287" s="10"/>
      <c r="B287" s="10"/>
      <c r="C287" s="10"/>
      <c r="D287" s="11"/>
      <c r="E287" s="12"/>
      <c r="F287" s="10"/>
      <c r="G287" s="11"/>
      <c r="H287" s="12"/>
      <c r="I287" s="10"/>
      <c r="J287" s="12"/>
      <c r="K287" s="11"/>
      <c r="L287" s="13">
        <f>IF(G287="","",IF(I287="Sold",IF(K287="","",K287-G287),TODAY()-G287))</f>
      </c>
      <c r="M287" s="14">
        <f>IF(J287="","",J287-E287)</f>
      </c>
      <c r="N287" s="13">
        <f>IF(OR(G287="",I287&lt;&gt;"Listed"),"",IF(TODAY()-G287&gt;60,"Reprice or move it",IF(TODAY()-G287&gt;30,"Check price","")))</f>
      </c>
    </row>
    <row r="288" spans="1:14" x14ac:dyDescent="0.25">
      <c r="A288" s="10"/>
      <c r="B288" s="10"/>
      <c r="C288" s="10"/>
      <c r="D288" s="11"/>
      <c r="E288" s="12"/>
      <c r="F288" s="10"/>
      <c r="G288" s="11"/>
      <c r="H288" s="12"/>
      <c r="I288" s="10"/>
      <c r="J288" s="12"/>
      <c r="K288" s="11"/>
      <c r="L288" s="13">
        <f>IF(G288="","",IF(I288="Sold",IF(K288="","",K288-G288),TODAY()-G288))</f>
      </c>
      <c r="M288" s="14">
        <f>IF(J288="","",J288-E288)</f>
      </c>
      <c r="N288" s="13">
        <f>IF(OR(G288="",I288&lt;&gt;"Listed"),"",IF(TODAY()-G288&gt;60,"Reprice or move it",IF(TODAY()-G288&gt;30,"Check price","")))</f>
      </c>
    </row>
    <row r="289" spans="1:14" x14ac:dyDescent="0.25">
      <c r="A289" s="10"/>
      <c r="B289" s="10"/>
      <c r="C289" s="10"/>
      <c r="D289" s="11"/>
      <c r="E289" s="12"/>
      <c r="F289" s="10"/>
      <c r="G289" s="11"/>
      <c r="H289" s="12"/>
      <c r="I289" s="10"/>
      <c r="J289" s="12"/>
      <c r="K289" s="11"/>
      <c r="L289" s="13">
        <f>IF(G289="","",IF(I289="Sold",IF(K289="","",K289-G289),TODAY()-G289))</f>
      </c>
      <c r="M289" s="14">
        <f>IF(J289="","",J289-E289)</f>
      </c>
      <c r="N289" s="13">
        <f>IF(OR(G289="",I289&lt;&gt;"Listed"),"",IF(TODAY()-G289&gt;60,"Reprice or move it",IF(TODAY()-G289&gt;30,"Check price","")))</f>
      </c>
    </row>
    <row r="290" spans="1:14" x14ac:dyDescent="0.25">
      <c r="A290" s="10"/>
      <c r="B290" s="10"/>
      <c r="C290" s="10"/>
      <c r="D290" s="11"/>
      <c r="E290" s="12"/>
      <c r="F290" s="10"/>
      <c r="G290" s="11"/>
      <c r="H290" s="12"/>
      <c r="I290" s="10"/>
      <c r="J290" s="12"/>
      <c r="K290" s="11"/>
      <c r="L290" s="13">
        <f>IF(G290="","",IF(I290="Sold",IF(K290="","",K290-G290),TODAY()-G290))</f>
      </c>
      <c r="M290" s="14">
        <f>IF(J290="","",J290-E290)</f>
      </c>
      <c r="N290" s="13">
        <f>IF(OR(G290="",I290&lt;&gt;"Listed"),"",IF(TODAY()-G290&gt;60,"Reprice or move it",IF(TODAY()-G290&gt;30,"Check price","")))</f>
      </c>
    </row>
    <row r="291" spans="1:14" x14ac:dyDescent="0.25">
      <c r="A291" s="10"/>
      <c r="B291" s="10"/>
      <c r="C291" s="10"/>
      <c r="D291" s="11"/>
      <c r="E291" s="12"/>
      <c r="F291" s="10"/>
      <c r="G291" s="11"/>
      <c r="H291" s="12"/>
      <c r="I291" s="10"/>
      <c r="J291" s="12"/>
      <c r="K291" s="11"/>
      <c r="L291" s="13">
        <f>IF(G291="","",IF(I291="Sold",IF(K291="","",K291-G291),TODAY()-G291))</f>
      </c>
      <c r="M291" s="14">
        <f>IF(J291="","",J291-E291)</f>
      </c>
      <c r="N291" s="13">
        <f>IF(OR(G291="",I291&lt;&gt;"Listed"),"",IF(TODAY()-G291&gt;60,"Reprice or move it",IF(TODAY()-G291&gt;30,"Check price","")))</f>
      </c>
    </row>
    <row r="292" spans="1:14" x14ac:dyDescent="0.25">
      <c r="A292" s="10"/>
      <c r="B292" s="10"/>
      <c r="C292" s="10"/>
      <c r="D292" s="11"/>
      <c r="E292" s="12"/>
      <c r="F292" s="10"/>
      <c r="G292" s="11"/>
      <c r="H292" s="12"/>
      <c r="I292" s="10"/>
      <c r="J292" s="12"/>
      <c r="K292" s="11"/>
      <c r="L292" s="13">
        <f>IF(G292="","",IF(I292="Sold",IF(K292="","",K292-G292),TODAY()-G292))</f>
      </c>
      <c r="M292" s="14">
        <f>IF(J292="","",J292-E292)</f>
      </c>
      <c r="N292" s="13">
        <f>IF(OR(G292="",I292&lt;&gt;"Listed"),"",IF(TODAY()-G292&gt;60,"Reprice or move it",IF(TODAY()-G292&gt;30,"Check price","")))</f>
      </c>
    </row>
    <row r="293" spans="1:14" x14ac:dyDescent="0.25">
      <c r="A293" s="10"/>
      <c r="B293" s="10"/>
      <c r="C293" s="10"/>
      <c r="D293" s="11"/>
      <c r="E293" s="12"/>
      <c r="F293" s="10"/>
      <c r="G293" s="11"/>
      <c r="H293" s="12"/>
      <c r="I293" s="10"/>
      <c r="J293" s="12"/>
      <c r="K293" s="11"/>
      <c r="L293" s="13">
        <f>IF(G293="","",IF(I293="Sold",IF(K293="","",K293-G293),TODAY()-G293))</f>
      </c>
      <c r="M293" s="14">
        <f>IF(J293="","",J293-E293)</f>
      </c>
      <c r="N293" s="13">
        <f>IF(OR(G293="",I293&lt;&gt;"Listed"),"",IF(TODAY()-G293&gt;60,"Reprice or move it",IF(TODAY()-G293&gt;30,"Check price","")))</f>
      </c>
    </row>
    <row r="294" spans="1:14" x14ac:dyDescent="0.25">
      <c r="A294" s="10"/>
      <c r="B294" s="10"/>
      <c r="C294" s="10"/>
      <c r="D294" s="11"/>
      <c r="E294" s="12"/>
      <c r="F294" s="10"/>
      <c r="G294" s="11"/>
      <c r="H294" s="12"/>
      <c r="I294" s="10"/>
      <c r="J294" s="12"/>
      <c r="K294" s="11"/>
      <c r="L294" s="13">
        <f>IF(G294="","",IF(I294="Sold",IF(K294="","",K294-G294),TODAY()-G294))</f>
      </c>
      <c r="M294" s="14">
        <f>IF(J294="","",J294-E294)</f>
      </c>
      <c r="N294" s="13">
        <f>IF(OR(G294="",I294&lt;&gt;"Listed"),"",IF(TODAY()-G294&gt;60,"Reprice or move it",IF(TODAY()-G294&gt;30,"Check price","")))</f>
      </c>
    </row>
    <row r="295" spans="1:14" x14ac:dyDescent="0.25">
      <c r="A295" s="10"/>
      <c r="B295" s="10"/>
      <c r="C295" s="10"/>
      <c r="D295" s="11"/>
      <c r="E295" s="12"/>
      <c r="F295" s="10"/>
      <c r="G295" s="11"/>
      <c r="H295" s="12"/>
      <c r="I295" s="10"/>
      <c r="J295" s="12"/>
      <c r="K295" s="11"/>
      <c r="L295" s="13">
        <f>IF(G295="","",IF(I295="Sold",IF(K295="","",K295-G295),TODAY()-G295))</f>
      </c>
      <c r="M295" s="14">
        <f>IF(J295="","",J295-E295)</f>
      </c>
      <c r="N295" s="13">
        <f>IF(OR(G295="",I295&lt;&gt;"Listed"),"",IF(TODAY()-G295&gt;60,"Reprice or move it",IF(TODAY()-G295&gt;30,"Check price","")))</f>
      </c>
    </row>
    <row r="296" spans="1:14" x14ac:dyDescent="0.25">
      <c r="A296" s="10"/>
      <c r="B296" s="10"/>
      <c r="C296" s="10"/>
      <c r="D296" s="11"/>
      <c r="E296" s="12"/>
      <c r="F296" s="10"/>
      <c r="G296" s="11"/>
      <c r="H296" s="12"/>
      <c r="I296" s="10"/>
      <c r="J296" s="12"/>
      <c r="K296" s="11"/>
      <c r="L296" s="13">
        <f>IF(G296="","",IF(I296="Sold",IF(K296="","",K296-G296),TODAY()-G296))</f>
      </c>
      <c r="M296" s="14">
        <f>IF(J296="","",J296-E296)</f>
      </c>
      <c r="N296" s="13">
        <f>IF(OR(G296="",I296&lt;&gt;"Listed"),"",IF(TODAY()-G296&gt;60,"Reprice or move it",IF(TODAY()-G296&gt;30,"Check price","")))</f>
      </c>
    </row>
    <row r="297" spans="1:14" x14ac:dyDescent="0.25">
      <c r="A297" s="10"/>
      <c r="B297" s="10"/>
      <c r="C297" s="10"/>
      <c r="D297" s="11"/>
      <c r="E297" s="12"/>
      <c r="F297" s="10"/>
      <c r="G297" s="11"/>
      <c r="H297" s="12"/>
      <c r="I297" s="10"/>
      <c r="J297" s="12"/>
      <c r="K297" s="11"/>
      <c r="L297" s="13">
        <f>IF(G297="","",IF(I297="Sold",IF(K297="","",K297-G297),TODAY()-G297))</f>
      </c>
      <c r="M297" s="14">
        <f>IF(J297="","",J297-E297)</f>
      </c>
      <c r="N297" s="13">
        <f>IF(OR(G297="",I297&lt;&gt;"Listed"),"",IF(TODAY()-G297&gt;60,"Reprice or move it",IF(TODAY()-G297&gt;30,"Check price","")))</f>
      </c>
    </row>
    <row r="298" spans="1:14" x14ac:dyDescent="0.25">
      <c r="A298" s="10"/>
      <c r="B298" s="10"/>
      <c r="C298" s="10"/>
      <c r="D298" s="11"/>
      <c r="E298" s="12"/>
      <c r="F298" s="10"/>
      <c r="G298" s="11"/>
      <c r="H298" s="12"/>
      <c r="I298" s="10"/>
      <c r="J298" s="12"/>
      <c r="K298" s="11"/>
      <c r="L298" s="13">
        <f>IF(G298="","",IF(I298="Sold",IF(K298="","",K298-G298),TODAY()-G298))</f>
      </c>
      <c r="M298" s="14">
        <f>IF(J298="","",J298-E298)</f>
      </c>
      <c r="N298" s="13">
        <f>IF(OR(G298="",I298&lt;&gt;"Listed"),"",IF(TODAY()-G298&gt;60,"Reprice or move it",IF(TODAY()-G298&gt;30,"Check price","")))</f>
      </c>
    </row>
    <row r="299" spans="1:14" x14ac:dyDescent="0.25">
      <c r="A299" s="10"/>
      <c r="B299" s="10"/>
      <c r="C299" s="10"/>
      <c r="D299" s="11"/>
      <c r="E299" s="12"/>
      <c r="F299" s="10"/>
      <c r="G299" s="11"/>
      <c r="H299" s="12"/>
      <c r="I299" s="10"/>
      <c r="J299" s="12"/>
      <c r="K299" s="11"/>
      <c r="L299" s="13">
        <f>IF(G299="","",IF(I299="Sold",IF(K299="","",K299-G299),TODAY()-G299))</f>
      </c>
      <c r="M299" s="14">
        <f>IF(J299="","",J299-E299)</f>
      </c>
      <c r="N299" s="13">
        <f>IF(OR(G299="",I299&lt;&gt;"Listed"),"",IF(TODAY()-G299&gt;60,"Reprice or move it",IF(TODAY()-G299&gt;30,"Check price","")))</f>
      </c>
    </row>
    <row r="300" spans="1:14" x14ac:dyDescent="0.25">
      <c r="A300" s="10"/>
      <c r="B300" s="10"/>
      <c r="C300" s="10"/>
      <c r="D300" s="11"/>
      <c r="E300" s="12"/>
      <c r="F300" s="10"/>
      <c r="G300" s="11"/>
      <c r="H300" s="12"/>
      <c r="I300" s="10"/>
      <c r="J300" s="12"/>
      <c r="K300" s="11"/>
      <c r="L300" s="13">
        <f>IF(G300="","",IF(I300="Sold",IF(K300="","",K300-G300),TODAY()-G300))</f>
      </c>
      <c r="M300" s="14">
        <f>IF(J300="","",J300-E300)</f>
      </c>
      <c r="N300" s="13">
        <f>IF(OR(G300="",I300&lt;&gt;"Listed"),"",IF(TODAY()-G300&gt;60,"Reprice or move it",IF(TODAY()-G300&gt;30,"Check price","")))</f>
      </c>
    </row>
    <row r="301" spans="1:14" x14ac:dyDescent="0.25">
      <c r="A301" s="10"/>
      <c r="B301" s="10"/>
      <c r="C301" s="10"/>
      <c r="D301" s="11"/>
      <c r="E301" s="12"/>
      <c r="F301" s="10"/>
      <c r="G301" s="11"/>
      <c r="H301" s="12"/>
      <c r="I301" s="10"/>
      <c r="J301" s="12"/>
      <c r="K301" s="11"/>
      <c r="L301" s="13">
        <f>IF(G301="","",IF(I301="Sold",IF(K301="","",K301-G301),TODAY()-G301))</f>
      </c>
      <c r="M301" s="14">
        <f>IF(J301="","",J301-E301)</f>
      </c>
      <c r="N301" s="13">
        <f>IF(OR(G301="",I301&lt;&gt;"Listed"),"",IF(TODAY()-G301&gt;60,"Reprice or move it",IF(TODAY()-G301&gt;30,"Check price","")))</f>
      </c>
    </row>
    <row r="302" spans="1:14" x14ac:dyDescent="0.25">
      <c r="A302" s="10"/>
      <c r="B302" s="10"/>
      <c r="C302" s="10"/>
      <c r="D302" s="11"/>
      <c r="E302" s="12"/>
      <c r="F302" s="10"/>
      <c r="G302" s="11"/>
      <c r="H302" s="12"/>
      <c r="I302" s="10"/>
      <c r="J302" s="12"/>
      <c r="K302" s="11"/>
      <c r="L302" s="13">
        <f>IF(G302="","",IF(I302="Sold",IF(K302="","",K302-G302),TODAY()-G302))</f>
      </c>
      <c r="M302" s="14">
        <f>IF(J302="","",J302-E302)</f>
      </c>
      <c r="N302" s="13">
        <f>IF(OR(G302="",I302&lt;&gt;"Listed"),"",IF(TODAY()-G302&gt;60,"Reprice or move it",IF(TODAY()-G302&gt;30,"Check price","")))</f>
      </c>
    </row>
    <row r="303" spans="1:14" x14ac:dyDescent="0.25">
      <c r="A303" s="10"/>
      <c r="B303" s="10"/>
      <c r="C303" s="10"/>
      <c r="D303" s="11"/>
      <c r="E303" s="12"/>
      <c r="F303" s="10"/>
      <c r="G303" s="11"/>
      <c r="H303" s="12"/>
      <c r="I303" s="10"/>
      <c r="J303" s="12"/>
      <c r="K303" s="11"/>
      <c r="L303" s="13">
        <f>IF(G303="","",IF(I303="Sold",IF(K303="","",K303-G303),TODAY()-G303))</f>
      </c>
      <c r="M303" s="14">
        <f>IF(J303="","",J303-E303)</f>
      </c>
      <c r="N303" s="13">
        <f>IF(OR(G303="",I303&lt;&gt;"Listed"),"",IF(TODAY()-G303&gt;60,"Reprice or move it",IF(TODAY()-G303&gt;30,"Check price","")))</f>
      </c>
    </row>
    <row r="304" spans="1:14" x14ac:dyDescent="0.25">
      <c r="A304" s="10"/>
      <c r="B304" s="10"/>
      <c r="C304" s="10"/>
      <c r="D304" s="11"/>
      <c r="E304" s="12"/>
      <c r="F304" s="10"/>
      <c r="G304" s="11"/>
      <c r="H304" s="12"/>
      <c r="I304" s="10"/>
      <c r="J304" s="12"/>
      <c r="K304" s="11"/>
      <c r="L304" s="13">
        <f>IF(G304="","",IF(I304="Sold",IF(K304="","",K304-G304),TODAY()-G304))</f>
      </c>
      <c r="M304" s="14">
        <f>IF(J304="","",J304-E304)</f>
      </c>
      <c r="N304" s="13">
        <f>IF(OR(G304="",I304&lt;&gt;"Listed"),"",IF(TODAY()-G304&gt;60,"Reprice or move it",IF(TODAY()-G304&gt;30,"Check price","")))</f>
      </c>
    </row>
    <row r="305" spans="1:14" x14ac:dyDescent="0.25">
      <c r="A305" s="10"/>
      <c r="B305" s="10"/>
      <c r="C305" s="10"/>
      <c r="D305" s="11"/>
      <c r="E305" s="12"/>
      <c r="F305" s="10"/>
      <c r="G305" s="11"/>
      <c r="H305" s="12"/>
      <c r="I305" s="10"/>
      <c r="J305" s="12"/>
      <c r="K305" s="11"/>
      <c r="L305" s="13">
        <f>IF(G305="","",IF(I305="Sold",IF(K305="","",K305-G305),TODAY()-G305))</f>
      </c>
      <c r="M305" s="14">
        <f>IF(J305="","",J305-E305)</f>
      </c>
      <c r="N305" s="13">
        <f>IF(OR(G305="",I305&lt;&gt;"Listed"),"",IF(TODAY()-G305&gt;60,"Reprice or move it",IF(TODAY()-G305&gt;30,"Check price","")))</f>
      </c>
    </row>
    <row r="306" spans="1:14" x14ac:dyDescent="0.25">
      <c r="A306" s="10"/>
      <c r="B306" s="10"/>
      <c r="C306" s="10"/>
      <c r="D306" s="11"/>
      <c r="E306" s="12"/>
      <c r="F306" s="10"/>
      <c r="G306" s="11"/>
      <c r="H306" s="12"/>
      <c r="I306" s="10"/>
      <c r="J306" s="12"/>
      <c r="K306" s="11"/>
      <c r="L306" s="13">
        <f>IF(G306="","",IF(I306="Sold",IF(K306="","",K306-G306),TODAY()-G306))</f>
      </c>
      <c r="M306" s="14">
        <f>IF(J306="","",J306-E306)</f>
      </c>
      <c r="N306" s="13">
        <f>IF(OR(G306="",I306&lt;&gt;"Listed"),"",IF(TODAY()-G306&gt;60,"Reprice or move it",IF(TODAY()-G306&gt;30,"Check price","")))</f>
      </c>
    </row>
    <row r="307" spans="1:14" x14ac:dyDescent="0.25">
      <c r="A307" s="10"/>
      <c r="B307" s="10"/>
      <c r="C307" s="10"/>
      <c r="D307" s="11"/>
      <c r="E307" s="12"/>
      <c r="F307" s="10"/>
      <c r="G307" s="11"/>
      <c r="H307" s="12"/>
      <c r="I307" s="10"/>
      <c r="J307" s="12"/>
      <c r="K307" s="11"/>
      <c r="L307" s="13">
        <f>IF(G307="","",IF(I307="Sold",IF(K307="","",K307-G307),TODAY()-G307))</f>
      </c>
      <c r="M307" s="14">
        <f>IF(J307="","",J307-E307)</f>
      </c>
      <c r="N307" s="13">
        <f>IF(OR(G307="",I307&lt;&gt;"Listed"),"",IF(TODAY()-G307&gt;60,"Reprice or move it",IF(TODAY()-G307&gt;30,"Check price","")))</f>
      </c>
    </row>
    <row r="308" spans="1:14" x14ac:dyDescent="0.25">
      <c r="A308" s="10"/>
      <c r="B308" s="10"/>
      <c r="C308" s="10"/>
      <c r="D308" s="11"/>
      <c r="E308" s="12"/>
      <c r="F308" s="10"/>
      <c r="G308" s="11"/>
      <c r="H308" s="12"/>
      <c r="I308" s="10"/>
      <c r="J308" s="12"/>
      <c r="K308" s="11"/>
      <c r="L308" s="13">
        <f>IF(G308="","",IF(I308="Sold",IF(K308="","",K308-G308),TODAY()-G308))</f>
      </c>
      <c r="M308" s="14">
        <f>IF(J308="","",J308-E308)</f>
      </c>
      <c r="N308" s="13">
        <f>IF(OR(G308="",I308&lt;&gt;"Listed"),"",IF(TODAY()-G308&gt;60,"Reprice or move it",IF(TODAY()-G308&gt;30,"Check price","")))</f>
      </c>
    </row>
    <row r="309" spans="1:14" x14ac:dyDescent="0.25">
      <c r="A309" s="10"/>
      <c r="B309" s="10"/>
      <c r="C309" s="10"/>
      <c r="D309" s="11"/>
      <c r="E309" s="12"/>
      <c r="F309" s="10"/>
      <c r="G309" s="11"/>
      <c r="H309" s="12"/>
      <c r="I309" s="10"/>
      <c r="J309" s="12"/>
      <c r="K309" s="11"/>
      <c r="L309" s="13">
        <f>IF(G309="","",IF(I309="Sold",IF(K309="","",K309-G309),TODAY()-G309))</f>
      </c>
      <c r="M309" s="14">
        <f>IF(J309="","",J309-E309)</f>
      </c>
      <c r="N309" s="13">
        <f>IF(OR(G309="",I309&lt;&gt;"Listed"),"",IF(TODAY()-G309&gt;60,"Reprice or move it",IF(TODAY()-G309&gt;30,"Check price","")))</f>
      </c>
    </row>
    <row r="310" spans="1:14" x14ac:dyDescent="0.25">
      <c r="A310" s="10"/>
      <c r="B310" s="10"/>
      <c r="C310" s="10"/>
      <c r="D310" s="11"/>
      <c r="E310" s="12"/>
      <c r="F310" s="10"/>
      <c r="G310" s="11"/>
      <c r="H310" s="12"/>
      <c r="I310" s="10"/>
      <c r="J310" s="12"/>
      <c r="K310" s="11"/>
      <c r="L310" s="13">
        <f>IF(G310="","",IF(I310="Sold",IF(K310="","",K310-G310),TODAY()-G310))</f>
      </c>
      <c r="M310" s="14">
        <f>IF(J310="","",J310-E310)</f>
      </c>
      <c r="N310" s="13">
        <f>IF(OR(G310="",I310&lt;&gt;"Listed"),"",IF(TODAY()-G310&gt;60,"Reprice or move it",IF(TODAY()-G310&gt;30,"Check price","")))</f>
      </c>
    </row>
    <row r="311" spans="1:14" x14ac:dyDescent="0.25">
      <c r="A311" s="10"/>
      <c r="B311" s="10"/>
      <c r="C311" s="10"/>
      <c r="D311" s="11"/>
      <c r="E311" s="12"/>
      <c r="F311" s="10"/>
      <c r="G311" s="11"/>
      <c r="H311" s="12"/>
      <c r="I311" s="10"/>
      <c r="J311" s="12"/>
      <c r="K311" s="11"/>
      <c r="L311" s="13">
        <f>IF(G311="","",IF(I311="Sold",IF(K311="","",K311-G311),TODAY()-G311))</f>
      </c>
      <c r="M311" s="14">
        <f>IF(J311="","",J311-E311)</f>
      </c>
      <c r="N311" s="13">
        <f>IF(OR(G311="",I311&lt;&gt;"Listed"),"",IF(TODAY()-G311&gt;60,"Reprice or move it",IF(TODAY()-G311&gt;30,"Check price","")))</f>
      </c>
    </row>
    <row r="312" spans="1:14" x14ac:dyDescent="0.25">
      <c r="A312" s="10"/>
      <c r="B312" s="10"/>
      <c r="C312" s="10"/>
      <c r="D312" s="11"/>
      <c r="E312" s="12"/>
      <c r="F312" s="10"/>
      <c r="G312" s="11"/>
      <c r="H312" s="12"/>
      <c r="I312" s="10"/>
      <c r="J312" s="12"/>
      <c r="K312" s="11"/>
      <c r="L312" s="13">
        <f>IF(G312="","",IF(I312="Sold",IF(K312="","",K312-G312),TODAY()-G312))</f>
      </c>
      <c r="M312" s="14">
        <f>IF(J312="","",J312-E312)</f>
      </c>
      <c r="N312" s="13">
        <f>IF(OR(G312="",I312&lt;&gt;"Listed"),"",IF(TODAY()-G312&gt;60,"Reprice or move it",IF(TODAY()-G312&gt;30,"Check price","")))</f>
      </c>
    </row>
    <row r="313" spans="1:14" x14ac:dyDescent="0.25">
      <c r="A313" s="10"/>
      <c r="B313" s="10"/>
      <c r="C313" s="10"/>
      <c r="D313" s="11"/>
      <c r="E313" s="12"/>
      <c r="F313" s="10"/>
      <c r="G313" s="11"/>
      <c r="H313" s="12"/>
      <c r="I313" s="10"/>
      <c r="J313" s="12"/>
      <c r="K313" s="11"/>
      <c r="L313" s="13">
        <f>IF(G313="","",IF(I313="Sold",IF(K313="","",K313-G313),TODAY()-G313))</f>
      </c>
      <c r="M313" s="14">
        <f>IF(J313="","",J313-E313)</f>
      </c>
      <c r="N313" s="13">
        <f>IF(OR(G313="",I313&lt;&gt;"Listed"),"",IF(TODAY()-G313&gt;60,"Reprice or move it",IF(TODAY()-G313&gt;30,"Check price","")))</f>
      </c>
    </row>
    <row r="314" spans="1:14" x14ac:dyDescent="0.25">
      <c r="A314" s="10"/>
      <c r="B314" s="10"/>
      <c r="C314" s="10"/>
      <c r="D314" s="11"/>
      <c r="E314" s="12"/>
      <c r="F314" s="10"/>
      <c r="G314" s="11"/>
      <c r="H314" s="12"/>
      <c r="I314" s="10"/>
      <c r="J314" s="12"/>
      <c r="K314" s="11"/>
      <c r="L314" s="13">
        <f>IF(G314="","",IF(I314="Sold",IF(K314="","",K314-G314),TODAY()-G314))</f>
      </c>
      <c r="M314" s="14">
        <f>IF(J314="","",J314-E314)</f>
      </c>
      <c r="N314" s="13">
        <f>IF(OR(G314="",I314&lt;&gt;"Listed"),"",IF(TODAY()-G314&gt;60,"Reprice or move it",IF(TODAY()-G314&gt;30,"Check price","")))</f>
      </c>
    </row>
    <row r="315" spans="1:14" x14ac:dyDescent="0.25">
      <c r="A315" s="10"/>
      <c r="B315" s="10"/>
      <c r="C315" s="10"/>
      <c r="D315" s="11"/>
      <c r="E315" s="12"/>
      <c r="F315" s="10"/>
      <c r="G315" s="11"/>
      <c r="H315" s="12"/>
      <c r="I315" s="10"/>
      <c r="J315" s="12"/>
      <c r="K315" s="11"/>
      <c r="L315" s="13">
        <f>IF(G315="","",IF(I315="Sold",IF(K315="","",K315-G315),TODAY()-G315))</f>
      </c>
      <c r="M315" s="14">
        <f>IF(J315="","",J315-E315)</f>
      </c>
      <c r="N315" s="13">
        <f>IF(OR(G315="",I315&lt;&gt;"Listed"),"",IF(TODAY()-G315&gt;60,"Reprice or move it",IF(TODAY()-G315&gt;30,"Check price","")))</f>
      </c>
    </row>
    <row r="316" spans="1:14" x14ac:dyDescent="0.25">
      <c r="A316" s="10"/>
      <c r="B316" s="10"/>
      <c r="C316" s="10"/>
      <c r="D316" s="11"/>
      <c r="E316" s="12"/>
      <c r="F316" s="10"/>
      <c r="G316" s="11"/>
      <c r="H316" s="12"/>
      <c r="I316" s="10"/>
      <c r="J316" s="12"/>
      <c r="K316" s="11"/>
      <c r="L316" s="13">
        <f>IF(G316="","",IF(I316="Sold",IF(K316="","",K316-G316),TODAY()-G316))</f>
      </c>
      <c r="M316" s="14">
        <f>IF(J316="","",J316-E316)</f>
      </c>
      <c r="N316" s="13">
        <f>IF(OR(G316="",I316&lt;&gt;"Listed"),"",IF(TODAY()-G316&gt;60,"Reprice or move it",IF(TODAY()-G316&gt;30,"Check price","")))</f>
      </c>
    </row>
    <row r="317" spans="1:14" x14ac:dyDescent="0.25">
      <c r="A317" s="10"/>
      <c r="B317" s="10"/>
      <c r="C317" s="10"/>
      <c r="D317" s="11"/>
      <c r="E317" s="12"/>
      <c r="F317" s="10"/>
      <c r="G317" s="11"/>
      <c r="H317" s="12"/>
      <c r="I317" s="10"/>
      <c r="J317" s="12"/>
      <c r="K317" s="11"/>
      <c r="L317" s="13">
        <f>IF(G317="","",IF(I317="Sold",IF(K317="","",K317-G317),TODAY()-G317))</f>
      </c>
      <c r="M317" s="14">
        <f>IF(J317="","",J317-E317)</f>
      </c>
      <c r="N317" s="13">
        <f>IF(OR(G317="",I317&lt;&gt;"Listed"),"",IF(TODAY()-G317&gt;60,"Reprice or move it",IF(TODAY()-G317&gt;30,"Check price","")))</f>
      </c>
    </row>
    <row r="318" spans="1:14" x14ac:dyDescent="0.25">
      <c r="A318" s="10"/>
      <c r="B318" s="10"/>
      <c r="C318" s="10"/>
      <c r="D318" s="11"/>
      <c r="E318" s="12"/>
      <c r="F318" s="10"/>
      <c r="G318" s="11"/>
      <c r="H318" s="12"/>
      <c r="I318" s="10"/>
      <c r="J318" s="12"/>
      <c r="K318" s="11"/>
      <c r="L318" s="13">
        <f>IF(G318="","",IF(I318="Sold",IF(K318="","",K318-G318),TODAY()-G318))</f>
      </c>
      <c r="M318" s="14">
        <f>IF(J318="","",J318-E318)</f>
      </c>
      <c r="N318" s="13">
        <f>IF(OR(G318="",I318&lt;&gt;"Listed"),"",IF(TODAY()-G318&gt;60,"Reprice or move it",IF(TODAY()-G318&gt;30,"Check price","")))</f>
      </c>
    </row>
    <row r="319" spans="1:14" x14ac:dyDescent="0.25">
      <c r="A319" s="10"/>
      <c r="B319" s="10"/>
      <c r="C319" s="10"/>
      <c r="D319" s="11"/>
      <c r="E319" s="12"/>
      <c r="F319" s="10"/>
      <c r="G319" s="11"/>
      <c r="H319" s="12"/>
      <c r="I319" s="10"/>
      <c r="J319" s="12"/>
      <c r="K319" s="11"/>
      <c r="L319" s="13">
        <f>IF(G319="","",IF(I319="Sold",IF(K319="","",K319-G319),TODAY()-G319))</f>
      </c>
      <c r="M319" s="14">
        <f>IF(J319="","",J319-E319)</f>
      </c>
      <c r="N319" s="13">
        <f>IF(OR(G319="",I319&lt;&gt;"Listed"),"",IF(TODAY()-G319&gt;60,"Reprice or move it",IF(TODAY()-G319&gt;30,"Check price","")))</f>
      </c>
    </row>
    <row r="320" spans="1:14" x14ac:dyDescent="0.25">
      <c r="A320" s="10"/>
      <c r="B320" s="10"/>
      <c r="C320" s="10"/>
      <c r="D320" s="11"/>
      <c r="E320" s="12"/>
      <c r="F320" s="10"/>
      <c r="G320" s="11"/>
      <c r="H320" s="12"/>
      <c r="I320" s="10"/>
      <c r="J320" s="12"/>
      <c r="K320" s="11"/>
      <c r="L320" s="13">
        <f>IF(G320="","",IF(I320="Sold",IF(K320="","",K320-G320),TODAY()-G320))</f>
      </c>
      <c r="M320" s="14">
        <f>IF(J320="","",J320-E320)</f>
      </c>
      <c r="N320" s="13">
        <f>IF(OR(G320="",I320&lt;&gt;"Listed"),"",IF(TODAY()-G320&gt;60,"Reprice or move it",IF(TODAY()-G320&gt;30,"Check price","")))</f>
      </c>
    </row>
    <row r="321" spans="1:14" x14ac:dyDescent="0.25">
      <c r="A321" s="10"/>
      <c r="B321" s="10"/>
      <c r="C321" s="10"/>
      <c r="D321" s="11"/>
      <c r="E321" s="12"/>
      <c r="F321" s="10"/>
      <c r="G321" s="11"/>
      <c r="H321" s="12"/>
      <c r="I321" s="10"/>
      <c r="J321" s="12"/>
      <c r="K321" s="11"/>
      <c r="L321" s="13">
        <f>IF(G321="","",IF(I321="Sold",IF(K321="","",K321-G321),TODAY()-G321))</f>
      </c>
      <c r="M321" s="14">
        <f>IF(J321="","",J321-E321)</f>
      </c>
      <c r="N321" s="13">
        <f>IF(OR(G321="",I321&lt;&gt;"Listed"),"",IF(TODAY()-G321&gt;60,"Reprice or move it",IF(TODAY()-G321&gt;30,"Check price","")))</f>
      </c>
    </row>
    <row r="322" spans="1:14" x14ac:dyDescent="0.25">
      <c r="A322" s="10"/>
      <c r="B322" s="10"/>
      <c r="C322" s="10"/>
      <c r="D322" s="11"/>
      <c r="E322" s="12"/>
      <c r="F322" s="10"/>
      <c r="G322" s="11"/>
      <c r="H322" s="12"/>
      <c r="I322" s="10"/>
      <c r="J322" s="12"/>
      <c r="K322" s="11"/>
      <c r="L322" s="13">
        <f>IF(G322="","",IF(I322="Sold",IF(K322="","",K322-G322),TODAY()-G322))</f>
      </c>
      <c r="M322" s="14">
        <f>IF(J322="","",J322-E322)</f>
      </c>
      <c r="N322" s="13">
        <f>IF(OR(G322="",I322&lt;&gt;"Listed"),"",IF(TODAY()-G322&gt;60,"Reprice or move it",IF(TODAY()-G322&gt;30,"Check price","")))</f>
      </c>
    </row>
    <row r="323" spans="1:14" x14ac:dyDescent="0.25">
      <c r="A323" s="10"/>
      <c r="B323" s="10"/>
      <c r="C323" s="10"/>
      <c r="D323" s="11"/>
      <c r="E323" s="12"/>
      <c r="F323" s="10"/>
      <c r="G323" s="11"/>
      <c r="H323" s="12"/>
      <c r="I323" s="10"/>
      <c r="J323" s="12"/>
      <c r="K323" s="11"/>
      <c r="L323" s="13">
        <f>IF(G323="","",IF(I323="Sold",IF(K323="","",K323-G323),TODAY()-G323))</f>
      </c>
      <c r="M323" s="14">
        <f>IF(J323="","",J323-E323)</f>
      </c>
      <c r="N323" s="13">
        <f>IF(OR(G323="",I323&lt;&gt;"Listed"),"",IF(TODAY()-G323&gt;60,"Reprice or move it",IF(TODAY()-G323&gt;30,"Check price","")))</f>
      </c>
    </row>
    <row r="324" spans="1:14" x14ac:dyDescent="0.25">
      <c r="A324" s="10"/>
      <c r="B324" s="10"/>
      <c r="C324" s="10"/>
      <c r="D324" s="11"/>
      <c r="E324" s="12"/>
      <c r="F324" s="10"/>
      <c r="G324" s="11"/>
      <c r="H324" s="12"/>
      <c r="I324" s="10"/>
      <c r="J324" s="12"/>
      <c r="K324" s="11"/>
      <c r="L324" s="13">
        <f>IF(G324="","",IF(I324="Sold",IF(K324="","",K324-G324),TODAY()-G324))</f>
      </c>
      <c r="M324" s="14">
        <f>IF(J324="","",J324-E324)</f>
      </c>
      <c r="N324" s="13">
        <f>IF(OR(G324="",I324&lt;&gt;"Listed"),"",IF(TODAY()-G324&gt;60,"Reprice or move it",IF(TODAY()-G324&gt;30,"Check price","")))</f>
      </c>
    </row>
    <row r="325" spans="1:14" x14ac:dyDescent="0.25">
      <c r="A325" s="10"/>
      <c r="B325" s="10"/>
      <c r="C325" s="10"/>
      <c r="D325" s="11"/>
      <c r="E325" s="12"/>
      <c r="F325" s="10"/>
      <c r="G325" s="11"/>
      <c r="H325" s="12"/>
      <c r="I325" s="10"/>
      <c r="J325" s="12"/>
      <c r="K325" s="11"/>
      <c r="L325" s="13">
        <f>IF(G325="","",IF(I325="Sold",IF(K325="","",K325-G325),TODAY()-G325))</f>
      </c>
      <c r="M325" s="14">
        <f>IF(J325="","",J325-E325)</f>
      </c>
      <c r="N325" s="13">
        <f>IF(OR(G325="",I325&lt;&gt;"Listed"),"",IF(TODAY()-G325&gt;60,"Reprice or move it",IF(TODAY()-G325&gt;30,"Check price","")))</f>
      </c>
    </row>
    <row r="326" spans="1:14" x14ac:dyDescent="0.25">
      <c r="A326" s="10"/>
      <c r="B326" s="10"/>
      <c r="C326" s="10"/>
      <c r="D326" s="11"/>
      <c r="E326" s="12"/>
      <c r="F326" s="10"/>
      <c r="G326" s="11"/>
      <c r="H326" s="12"/>
      <c r="I326" s="10"/>
      <c r="J326" s="12"/>
      <c r="K326" s="11"/>
      <c r="L326" s="13">
        <f>IF(G326="","",IF(I326="Sold",IF(K326="","",K326-G326),TODAY()-G326))</f>
      </c>
      <c r="M326" s="14">
        <f>IF(J326="","",J326-E326)</f>
      </c>
      <c r="N326" s="13">
        <f>IF(OR(G326="",I326&lt;&gt;"Listed"),"",IF(TODAY()-G326&gt;60,"Reprice or move it",IF(TODAY()-G326&gt;30,"Check price","")))</f>
      </c>
    </row>
    <row r="327" spans="1:14" x14ac:dyDescent="0.25">
      <c r="A327" s="10"/>
      <c r="B327" s="10"/>
      <c r="C327" s="10"/>
      <c r="D327" s="11"/>
      <c r="E327" s="12"/>
      <c r="F327" s="10"/>
      <c r="G327" s="11"/>
      <c r="H327" s="12"/>
      <c r="I327" s="10"/>
      <c r="J327" s="12"/>
      <c r="K327" s="11"/>
      <c r="L327" s="13">
        <f>IF(G327="","",IF(I327="Sold",IF(K327="","",K327-G327),TODAY()-G327))</f>
      </c>
      <c r="M327" s="14">
        <f>IF(J327="","",J327-E327)</f>
      </c>
      <c r="N327" s="13">
        <f>IF(OR(G327="",I327&lt;&gt;"Listed"),"",IF(TODAY()-G327&gt;60,"Reprice or move it",IF(TODAY()-G327&gt;30,"Check price","")))</f>
      </c>
    </row>
    <row r="328" spans="1:14" x14ac:dyDescent="0.25">
      <c r="A328" s="10"/>
      <c r="B328" s="10"/>
      <c r="C328" s="10"/>
      <c r="D328" s="11"/>
      <c r="E328" s="12"/>
      <c r="F328" s="10"/>
      <c r="G328" s="11"/>
      <c r="H328" s="12"/>
      <c r="I328" s="10"/>
      <c r="J328" s="12"/>
      <c r="K328" s="11"/>
      <c r="L328" s="13">
        <f>IF(G328="","",IF(I328="Sold",IF(K328="","",K328-G328),TODAY()-G328))</f>
      </c>
      <c r="M328" s="14">
        <f>IF(J328="","",J328-E328)</f>
      </c>
      <c r="N328" s="13">
        <f>IF(OR(G328="",I328&lt;&gt;"Listed"),"",IF(TODAY()-G328&gt;60,"Reprice or move it",IF(TODAY()-G328&gt;30,"Check price","")))</f>
      </c>
    </row>
    <row r="329" spans="1:14" x14ac:dyDescent="0.25">
      <c r="A329" s="10"/>
      <c r="B329" s="10"/>
      <c r="C329" s="10"/>
      <c r="D329" s="11"/>
      <c r="E329" s="12"/>
      <c r="F329" s="10"/>
      <c r="G329" s="11"/>
      <c r="H329" s="12"/>
      <c r="I329" s="10"/>
      <c r="J329" s="12"/>
      <c r="K329" s="11"/>
      <c r="L329" s="13">
        <f>IF(G329="","",IF(I329="Sold",IF(K329="","",K329-G329),TODAY()-G329))</f>
      </c>
      <c r="M329" s="14">
        <f>IF(J329="","",J329-E329)</f>
      </c>
      <c r="N329" s="13">
        <f>IF(OR(G329="",I329&lt;&gt;"Listed"),"",IF(TODAY()-G329&gt;60,"Reprice or move it",IF(TODAY()-G329&gt;30,"Check price","")))</f>
      </c>
    </row>
    <row r="330" spans="1:14" x14ac:dyDescent="0.25">
      <c r="A330" s="10"/>
      <c r="B330" s="10"/>
      <c r="C330" s="10"/>
      <c r="D330" s="11"/>
      <c r="E330" s="12"/>
      <c r="F330" s="10"/>
      <c r="G330" s="11"/>
      <c r="H330" s="12"/>
      <c r="I330" s="10"/>
      <c r="J330" s="12"/>
      <c r="K330" s="11"/>
      <c r="L330" s="13">
        <f>IF(G330="","",IF(I330="Sold",IF(K330="","",K330-G330),TODAY()-G330))</f>
      </c>
      <c r="M330" s="14">
        <f>IF(J330="","",J330-E330)</f>
      </c>
      <c r="N330" s="13">
        <f>IF(OR(G330="",I330&lt;&gt;"Listed"),"",IF(TODAY()-G330&gt;60,"Reprice or move it",IF(TODAY()-G330&gt;30,"Check price","")))</f>
      </c>
    </row>
    <row r="331" spans="1:14" x14ac:dyDescent="0.25">
      <c r="A331" s="10"/>
      <c r="B331" s="10"/>
      <c r="C331" s="10"/>
      <c r="D331" s="11"/>
      <c r="E331" s="12"/>
      <c r="F331" s="10"/>
      <c r="G331" s="11"/>
      <c r="H331" s="12"/>
      <c r="I331" s="10"/>
      <c r="J331" s="12"/>
      <c r="K331" s="11"/>
      <c r="L331" s="13">
        <f>IF(G331="","",IF(I331="Sold",IF(K331="","",K331-G331),TODAY()-G331))</f>
      </c>
      <c r="M331" s="14">
        <f>IF(J331="","",J331-E331)</f>
      </c>
      <c r="N331" s="13">
        <f>IF(OR(G331="",I331&lt;&gt;"Listed"),"",IF(TODAY()-G331&gt;60,"Reprice or move it",IF(TODAY()-G331&gt;30,"Check price","")))</f>
      </c>
    </row>
    <row r="332" spans="1:14" x14ac:dyDescent="0.25">
      <c r="A332" s="10"/>
      <c r="B332" s="10"/>
      <c r="C332" s="10"/>
      <c r="D332" s="11"/>
      <c r="E332" s="12"/>
      <c r="F332" s="10"/>
      <c r="G332" s="11"/>
      <c r="H332" s="12"/>
      <c r="I332" s="10"/>
      <c r="J332" s="12"/>
      <c r="K332" s="11"/>
      <c r="L332" s="13">
        <f>IF(G332="","",IF(I332="Sold",IF(K332="","",K332-G332),TODAY()-G332))</f>
      </c>
      <c r="M332" s="14">
        <f>IF(J332="","",J332-E332)</f>
      </c>
      <c r="N332" s="13">
        <f>IF(OR(G332="",I332&lt;&gt;"Listed"),"",IF(TODAY()-G332&gt;60,"Reprice or move it",IF(TODAY()-G332&gt;30,"Check price","")))</f>
      </c>
    </row>
    <row r="333" spans="1:14" x14ac:dyDescent="0.25">
      <c r="A333" s="10"/>
      <c r="B333" s="10"/>
      <c r="C333" s="10"/>
      <c r="D333" s="11"/>
      <c r="E333" s="12"/>
      <c r="F333" s="10"/>
      <c r="G333" s="11"/>
      <c r="H333" s="12"/>
      <c r="I333" s="10"/>
      <c r="J333" s="12"/>
      <c r="K333" s="11"/>
      <c r="L333" s="13">
        <f>IF(G333="","",IF(I333="Sold",IF(K333="","",K333-G333),TODAY()-G333))</f>
      </c>
      <c r="M333" s="14">
        <f>IF(J333="","",J333-E333)</f>
      </c>
      <c r="N333" s="13">
        <f>IF(OR(G333="",I333&lt;&gt;"Listed"),"",IF(TODAY()-G333&gt;60,"Reprice or move it",IF(TODAY()-G333&gt;30,"Check price","")))</f>
      </c>
    </row>
    <row r="334" spans="1:14" x14ac:dyDescent="0.25">
      <c r="A334" s="10"/>
      <c r="B334" s="10"/>
      <c r="C334" s="10"/>
      <c r="D334" s="11"/>
      <c r="E334" s="12"/>
      <c r="F334" s="10"/>
      <c r="G334" s="11"/>
      <c r="H334" s="12"/>
      <c r="I334" s="10"/>
      <c r="J334" s="12"/>
      <c r="K334" s="11"/>
      <c r="L334" s="13">
        <f>IF(G334="","",IF(I334="Sold",IF(K334="","",K334-G334),TODAY()-G334))</f>
      </c>
      <c r="M334" s="14">
        <f>IF(J334="","",J334-E334)</f>
      </c>
      <c r="N334" s="13">
        <f>IF(OR(G334="",I334&lt;&gt;"Listed"),"",IF(TODAY()-G334&gt;60,"Reprice or move it",IF(TODAY()-G334&gt;30,"Check price","")))</f>
      </c>
    </row>
    <row r="335" spans="1:14" x14ac:dyDescent="0.25">
      <c r="A335" s="10"/>
      <c r="B335" s="10"/>
      <c r="C335" s="10"/>
      <c r="D335" s="11"/>
      <c r="E335" s="12"/>
      <c r="F335" s="10"/>
      <c r="G335" s="11"/>
      <c r="H335" s="12"/>
      <c r="I335" s="10"/>
      <c r="J335" s="12"/>
      <c r="K335" s="11"/>
      <c r="L335" s="13">
        <f>IF(G335="","",IF(I335="Sold",IF(K335="","",K335-G335),TODAY()-G335))</f>
      </c>
      <c r="M335" s="14">
        <f>IF(J335="","",J335-E335)</f>
      </c>
      <c r="N335" s="13">
        <f>IF(OR(G335="",I335&lt;&gt;"Listed"),"",IF(TODAY()-G335&gt;60,"Reprice or move it",IF(TODAY()-G335&gt;30,"Check price","")))</f>
      </c>
    </row>
    <row r="336" spans="1:14" x14ac:dyDescent="0.25">
      <c r="A336" s="10"/>
      <c r="B336" s="10"/>
      <c r="C336" s="10"/>
      <c r="D336" s="11"/>
      <c r="E336" s="12"/>
      <c r="F336" s="10"/>
      <c r="G336" s="11"/>
      <c r="H336" s="12"/>
      <c r="I336" s="10"/>
      <c r="J336" s="12"/>
      <c r="K336" s="11"/>
      <c r="L336" s="13">
        <f>IF(G336="","",IF(I336="Sold",IF(K336="","",K336-G336),TODAY()-G336))</f>
      </c>
      <c r="M336" s="14">
        <f>IF(J336="","",J336-E336)</f>
      </c>
      <c r="N336" s="13">
        <f>IF(OR(G336="",I336&lt;&gt;"Listed"),"",IF(TODAY()-G336&gt;60,"Reprice or move it",IF(TODAY()-G336&gt;30,"Check price","")))</f>
      </c>
    </row>
    <row r="337" spans="1:14" x14ac:dyDescent="0.25">
      <c r="A337" s="10"/>
      <c r="B337" s="10"/>
      <c r="C337" s="10"/>
      <c r="D337" s="11"/>
      <c r="E337" s="12"/>
      <c r="F337" s="10"/>
      <c r="G337" s="11"/>
      <c r="H337" s="12"/>
      <c r="I337" s="10"/>
      <c r="J337" s="12"/>
      <c r="K337" s="11"/>
      <c r="L337" s="13">
        <f>IF(G337="","",IF(I337="Sold",IF(K337="","",K337-G337),TODAY()-G337))</f>
      </c>
      <c r="M337" s="14">
        <f>IF(J337="","",J337-E337)</f>
      </c>
      <c r="N337" s="13">
        <f>IF(OR(G337="",I337&lt;&gt;"Listed"),"",IF(TODAY()-G337&gt;60,"Reprice or move it",IF(TODAY()-G337&gt;30,"Check price","")))</f>
      </c>
    </row>
    <row r="338" spans="1:14" x14ac:dyDescent="0.25">
      <c r="A338" s="10"/>
      <c r="B338" s="10"/>
      <c r="C338" s="10"/>
      <c r="D338" s="11"/>
      <c r="E338" s="12"/>
      <c r="F338" s="10"/>
      <c r="G338" s="11"/>
      <c r="H338" s="12"/>
      <c r="I338" s="10"/>
      <c r="J338" s="12"/>
      <c r="K338" s="11"/>
      <c r="L338" s="13">
        <f>IF(G338="","",IF(I338="Sold",IF(K338="","",K338-G338),TODAY()-G338))</f>
      </c>
      <c r="M338" s="14">
        <f>IF(J338="","",J338-E338)</f>
      </c>
      <c r="N338" s="13">
        <f>IF(OR(G338="",I338&lt;&gt;"Listed"),"",IF(TODAY()-G338&gt;60,"Reprice or move it",IF(TODAY()-G338&gt;30,"Check price","")))</f>
      </c>
    </row>
    <row r="339" spans="1:14" x14ac:dyDescent="0.25">
      <c r="A339" s="10"/>
      <c r="B339" s="10"/>
      <c r="C339" s="10"/>
      <c r="D339" s="11"/>
      <c r="E339" s="12"/>
      <c r="F339" s="10"/>
      <c r="G339" s="11"/>
      <c r="H339" s="12"/>
      <c r="I339" s="10"/>
      <c r="J339" s="12"/>
      <c r="K339" s="11"/>
      <c r="L339" s="13">
        <f>IF(G339="","",IF(I339="Sold",IF(K339="","",K339-G339),TODAY()-G339))</f>
      </c>
      <c r="M339" s="14">
        <f>IF(J339="","",J339-E339)</f>
      </c>
      <c r="N339" s="13">
        <f>IF(OR(G339="",I339&lt;&gt;"Listed"),"",IF(TODAY()-G339&gt;60,"Reprice or move it",IF(TODAY()-G339&gt;30,"Check price","")))</f>
      </c>
    </row>
    <row r="340" spans="1:14" x14ac:dyDescent="0.25">
      <c r="A340" s="10"/>
      <c r="B340" s="10"/>
      <c r="C340" s="10"/>
      <c r="D340" s="11"/>
      <c r="E340" s="12"/>
      <c r="F340" s="10"/>
      <c r="G340" s="11"/>
      <c r="H340" s="12"/>
      <c r="I340" s="10"/>
      <c r="J340" s="12"/>
      <c r="K340" s="11"/>
      <c r="L340" s="13">
        <f>IF(G340="","",IF(I340="Sold",IF(K340="","",K340-G340),TODAY()-G340))</f>
      </c>
      <c r="M340" s="14">
        <f>IF(J340="","",J340-E340)</f>
      </c>
      <c r="N340" s="13">
        <f>IF(OR(G340="",I340&lt;&gt;"Listed"),"",IF(TODAY()-G340&gt;60,"Reprice or move it",IF(TODAY()-G340&gt;30,"Check price","")))</f>
      </c>
    </row>
    <row r="341" spans="1:14" x14ac:dyDescent="0.25">
      <c r="A341" s="10"/>
      <c r="B341" s="10"/>
      <c r="C341" s="10"/>
      <c r="D341" s="11"/>
      <c r="E341" s="12"/>
      <c r="F341" s="10"/>
      <c r="G341" s="11"/>
      <c r="H341" s="12"/>
      <c r="I341" s="10"/>
      <c r="J341" s="12"/>
      <c r="K341" s="11"/>
      <c r="L341" s="13">
        <f>IF(G341="","",IF(I341="Sold",IF(K341="","",K341-G341),TODAY()-G341))</f>
      </c>
      <c r="M341" s="14">
        <f>IF(J341="","",J341-E341)</f>
      </c>
      <c r="N341" s="13">
        <f>IF(OR(G341="",I341&lt;&gt;"Listed"),"",IF(TODAY()-G341&gt;60,"Reprice or move it",IF(TODAY()-G341&gt;30,"Check price","")))</f>
      </c>
    </row>
    <row r="342" spans="1:14" x14ac:dyDescent="0.25">
      <c r="A342" s="10"/>
      <c r="B342" s="10"/>
      <c r="C342" s="10"/>
      <c r="D342" s="11"/>
      <c r="E342" s="12"/>
      <c r="F342" s="10"/>
      <c r="G342" s="11"/>
      <c r="H342" s="12"/>
      <c r="I342" s="10"/>
      <c r="J342" s="12"/>
      <c r="K342" s="11"/>
      <c r="L342" s="13">
        <f>IF(G342="","",IF(I342="Sold",IF(K342="","",K342-G342),TODAY()-G342))</f>
      </c>
      <c r="M342" s="14">
        <f>IF(J342="","",J342-E342)</f>
      </c>
      <c r="N342" s="13">
        <f>IF(OR(G342="",I342&lt;&gt;"Listed"),"",IF(TODAY()-G342&gt;60,"Reprice or move it",IF(TODAY()-G342&gt;30,"Check price","")))</f>
      </c>
    </row>
    <row r="343" spans="1:14" x14ac:dyDescent="0.25">
      <c r="A343" s="10"/>
      <c r="B343" s="10"/>
      <c r="C343" s="10"/>
      <c r="D343" s="11"/>
      <c r="E343" s="12"/>
      <c r="F343" s="10"/>
      <c r="G343" s="11"/>
      <c r="H343" s="12"/>
      <c r="I343" s="10"/>
      <c r="J343" s="12"/>
      <c r="K343" s="11"/>
      <c r="L343" s="13">
        <f>IF(G343="","",IF(I343="Sold",IF(K343="","",K343-G343),TODAY()-G343))</f>
      </c>
      <c r="M343" s="14">
        <f>IF(J343="","",J343-E343)</f>
      </c>
      <c r="N343" s="13">
        <f>IF(OR(G343="",I343&lt;&gt;"Listed"),"",IF(TODAY()-G343&gt;60,"Reprice or move it",IF(TODAY()-G343&gt;30,"Check price","")))</f>
      </c>
    </row>
    <row r="344" spans="1:14" x14ac:dyDescent="0.25">
      <c r="A344" s="10"/>
      <c r="B344" s="10"/>
      <c r="C344" s="10"/>
      <c r="D344" s="11"/>
      <c r="E344" s="12"/>
      <c r="F344" s="10"/>
      <c r="G344" s="11"/>
      <c r="H344" s="12"/>
      <c r="I344" s="10"/>
      <c r="J344" s="12"/>
      <c r="K344" s="11"/>
      <c r="L344" s="13">
        <f>IF(G344="","",IF(I344="Sold",IF(K344="","",K344-G344),TODAY()-G344))</f>
      </c>
      <c r="M344" s="14">
        <f>IF(J344="","",J344-E344)</f>
      </c>
      <c r="N344" s="13">
        <f>IF(OR(G344="",I344&lt;&gt;"Listed"),"",IF(TODAY()-G344&gt;60,"Reprice or move it",IF(TODAY()-G344&gt;30,"Check price","")))</f>
      </c>
    </row>
    <row r="345" spans="1:14" x14ac:dyDescent="0.25">
      <c r="A345" s="10"/>
      <c r="B345" s="10"/>
      <c r="C345" s="10"/>
      <c r="D345" s="11"/>
      <c r="E345" s="12"/>
      <c r="F345" s="10"/>
      <c r="G345" s="11"/>
      <c r="H345" s="12"/>
      <c r="I345" s="10"/>
      <c r="J345" s="12"/>
      <c r="K345" s="11"/>
      <c r="L345" s="13">
        <f>IF(G345="","",IF(I345="Sold",IF(K345="","",K345-G345),TODAY()-G345))</f>
      </c>
      <c r="M345" s="14">
        <f>IF(J345="","",J345-E345)</f>
      </c>
      <c r="N345" s="13">
        <f>IF(OR(G345="",I345&lt;&gt;"Listed"),"",IF(TODAY()-G345&gt;60,"Reprice or move it",IF(TODAY()-G345&gt;30,"Check price","")))</f>
      </c>
    </row>
    <row r="346" spans="1:14" x14ac:dyDescent="0.25">
      <c r="A346" s="10"/>
      <c r="B346" s="10"/>
      <c r="C346" s="10"/>
      <c r="D346" s="11"/>
      <c r="E346" s="12"/>
      <c r="F346" s="10"/>
      <c r="G346" s="11"/>
      <c r="H346" s="12"/>
      <c r="I346" s="10"/>
      <c r="J346" s="12"/>
      <c r="K346" s="11"/>
      <c r="L346" s="13">
        <f>IF(G346="","",IF(I346="Sold",IF(K346="","",K346-G346),TODAY()-G346))</f>
      </c>
      <c r="M346" s="14">
        <f>IF(J346="","",J346-E346)</f>
      </c>
      <c r="N346" s="13">
        <f>IF(OR(G346="",I346&lt;&gt;"Listed"),"",IF(TODAY()-G346&gt;60,"Reprice or move it",IF(TODAY()-G346&gt;30,"Check price","")))</f>
      </c>
    </row>
    <row r="347" spans="1:14" x14ac:dyDescent="0.25">
      <c r="A347" s="10"/>
      <c r="B347" s="10"/>
      <c r="C347" s="10"/>
      <c r="D347" s="11"/>
      <c r="E347" s="12"/>
      <c r="F347" s="10"/>
      <c r="G347" s="11"/>
      <c r="H347" s="12"/>
      <c r="I347" s="10"/>
      <c r="J347" s="12"/>
      <c r="K347" s="11"/>
      <c r="L347" s="13">
        <f>IF(G347="","",IF(I347="Sold",IF(K347="","",K347-G347),TODAY()-G347))</f>
      </c>
      <c r="M347" s="14">
        <f>IF(J347="","",J347-E347)</f>
      </c>
      <c r="N347" s="13">
        <f>IF(OR(G347="",I347&lt;&gt;"Listed"),"",IF(TODAY()-G347&gt;60,"Reprice or move it",IF(TODAY()-G347&gt;30,"Check price","")))</f>
      </c>
    </row>
    <row r="348" spans="1:14" x14ac:dyDescent="0.25">
      <c r="A348" s="10"/>
      <c r="B348" s="10"/>
      <c r="C348" s="10"/>
      <c r="D348" s="11"/>
      <c r="E348" s="12"/>
      <c r="F348" s="10"/>
      <c r="G348" s="11"/>
      <c r="H348" s="12"/>
      <c r="I348" s="10"/>
      <c r="J348" s="12"/>
      <c r="K348" s="11"/>
      <c r="L348" s="13">
        <f>IF(G348="","",IF(I348="Sold",IF(K348="","",K348-G348),TODAY()-G348))</f>
      </c>
      <c r="M348" s="14">
        <f>IF(J348="","",J348-E348)</f>
      </c>
      <c r="N348" s="13">
        <f>IF(OR(G348="",I348&lt;&gt;"Listed"),"",IF(TODAY()-G348&gt;60,"Reprice or move it",IF(TODAY()-G348&gt;30,"Check price","")))</f>
      </c>
    </row>
    <row r="349" spans="1:14" x14ac:dyDescent="0.25">
      <c r="A349" s="10"/>
      <c r="B349" s="10"/>
      <c r="C349" s="10"/>
      <c r="D349" s="11"/>
      <c r="E349" s="12"/>
      <c r="F349" s="10"/>
      <c r="G349" s="11"/>
      <c r="H349" s="12"/>
      <c r="I349" s="10"/>
      <c r="J349" s="12"/>
      <c r="K349" s="11"/>
      <c r="L349" s="13">
        <f>IF(G349="","",IF(I349="Sold",IF(K349="","",K349-G349),TODAY()-G349))</f>
      </c>
      <c r="M349" s="14">
        <f>IF(J349="","",J349-E349)</f>
      </c>
      <c r="N349" s="13">
        <f>IF(OR(G349="",I349&lt;&gt;"Listed"),"",IF(TODAY()-G349&gt;60,"Reprice or move it",IF(TODAY()-G349&gt;30,"Check price","")))</f>
      </c>
    </row>
    <row r="350" spans="1:14" x14ac:dyDescent="0.25">
      <c r="A350" s="10"/>
      <c r="B350" s="10"/>
      <c r="C350" s="10"/>
      <c r="D350" s="11"/>
      <c r="E350" s="12"/>
      <c r="F350" s="10"/>
      <c r="G350" s="11"/>
      <c r="H350" s="12"/>
      <c r="I350" s="10"/>
      <c r="J350" s="12"/>
      <c r="K350" s="11"/>
      <c r="L350" s="13">
        <f>IF(G350="","",IF(I350="Sold",IF(K350="","",K350-G350),TODAY()-G350))</f>
      </c>
      <c r="M350" s="14">
        <f>IF(J350="","",J350-E350)</f>
      </c>
      <c r="N350" s="13">
        <f>IF(OR(G350="",I350&lt;&gt;"Listed"),"",IF(TODAY()-G350&gt;60,"Reprice or move it",IF(TODAY()-G350&gt;30,"Check price","")))</f>
      </c>
    </row>
    <row r="351" spans="1:14" x14ac:dyDescent="0.25">
      <c r="A351" s="10"/>
      <c r="B351" s="10"/>
      <c r="C351" s="10"/>
      <c r="D351" s="11"/>
      <c r="E351" s="12"/>
      <c r="F351" s="10"/>
      <c r="G351" s="11"/>
      <c r="H351" s="12"/>
      <c r="I351" s="10"/>
      <c r="J351" s="12"/>
      <c r="K351" s="11"/>
      <c r="L351" s="13">
        <f>IF(G351="","",IF(I351="Sold",IF(K351="","",K351-G351),TODAY()-G351))</f>
      </c>
      <c r="M351" s="14">
        <f>IF(J351="","",J351-E351)</f>
      </c>
      <c r="N351" s="13">
        <f>IF(OR(G351="",I351&lt;&gt;"Listed"),"",IF(TODAY()-G351&gt;60,"Reprice or move it",IF(TODAY()-G351&gt;30,"Check price","")))</f>
      </c>
    </row>
    <row r="352" spans="1:14" x14ac:dyDescent="0.25">
      <c r="A352" s="10"/>
      <c r="B352" s="10"/>
      <c r="C352" s="10"/>
      <c r="D352" s="11"/>
      <c r="E352" s="12"/>
      <c r="F352" s="10"/>
      <c r="G352" s="11"/>
      <c r="H352" s="12"/>
      <c r="I352" s="10"/>
      <c r="J352" s="12"/>
      <c r="K352" s="11"/>
      <c r="L352" s="13">
        <f>IF(G352="","",IF(I352="Sold",IF(K352="","",K352-G352),TODAY()-G352))</f>
      </c>
      <c r="M352" s="14">
        <f>IF(J352="","",J352-E352)</f>
      </c>
      <c r="N352" s="13">
        <f>IF(OR(G352="",I352&lt;&gt;"Listed"),"",IF(TODAY()-G352&gt;60,"Reprice or move it",IF(TODAY()-G352&gt;30,"Check price","")))</f>
      </c>
    </row>
    <row r="353" spans="1:14" x14ac:dyDescent="0.25">
      <c r="A353" s="10"/>
      <c r="B353" s="10"/>
      <c r="C353" s="10"/>
      <c r="D353" s="11"/>
      <c r="E353" s="12"/>
      <c r="F353" s="10"/>
      <c r="G353" s="11"/>
      <c r="H353" s="12"/>
      <c r="I353" s="10"/>
      <c r="J353" s="12"/>
      <c r="K353" s="11"/>
      <c r="L353" s="13">
        <f>IF(G353="","",IF(I353="Sold",IF(K353="","",K353-G353),TODAY()-G353))</f>
      </c>
      <c r="M353" s="14">
        <f>IF(J353="","",J353-E353)</f>
      </c>
      <c r="N353" s="13">
        <f>IF(OR(G353="",I353&lt;&gt;"Listed"),"",IF(TODAY()-G353&gt;60,"Reprice or move it",IF(TODAY()-G353&gt;30,"Check price","")))</f>
      </c>
    </row>
    <row r="354" spans="1:14" x14ac:dyDescent="0.25">
      <c r="A354" s="10"/>
      <c r="B354" s="10"/>
      <c r="C354" s="10"/>
      <c r="D354" s="11"/>
      <c r="E354" s="12"/>
      <c r="F354" s="10"/>
      <c r="G354" s="11"/>
      <c r="H354" s="12"/>
      <c r="I354" s="10"/>
      <c r="J354" s="12"/>
      <c r="K354" s="11"/>
      <c r="L354" s="13">
        <f>IF(G354="","",IF(I354="Sold",IF(K354="","",K354-G354),TODAY()-G354))</f>
      </c>
      <c r="M354" s="14">
        <f>IF(J354="","",J354-E354)</f>
      </c>
      <c r="N354" s="13">
        <f>IF(OR(G354="",I354&lt;&gt;"Listed"),"",IF(TODAY()-G354&gt;60,"Reprice or move it",IF(TODAY()-G354&gt;30,"Check price","")))</f>
      </c>
    </row>
    <row r="355" spans="1:14" x14ac:dyDescent="0.25">
      <c r="A355" s="10"/>
      <c r="B355" s="10"/>
      <c r="C355" s="10"/>
      <c r="D355" s="11"/>
      <c r="E355" s="12"/>
      <c r="F355" s="10"/>
      <c r="G355" s="11"/>
      <c r="H355" s="12"/>
      <c r="I355" s="10"/>
      <c r="J355" s="12"/>
      <c r="K355" s="11"/>
      <c r="L355" s="13">
        <f>IF(G355="","",IF(I355="Sold",IF(K355="","",K355-G355),TODAY()-G355))</f>
      </c>
      <c r="M355" s="14">
        <f>IF(J355="","",J355-E355)</f>
      </c>
      <c r="N355" s="13">
        <f>IF(OR(G355="",I355&lt;&gt;"Listed"),"",IF(TODAY()-G355&gt;60,"Reprice or move it",IF(TODAY()-G355&gt;30,"Check price","")))</f>
      </c>
    </row>
    <row r="356" spans="1:14" x14ac:dyDescent="0.25">
      <c r="A356" s="10"/>
      <c r="B356" s="10"/>
      <c r="C356" s="10"/>
      <c r="D356" s="11"/>
      <c r="E356" s="12"/>
      <c r="F356" s="10"/>
      <c r="G356" s="11"/>
      <c r="H356" s="12"/>
      <c r="I356" s="10"/>
      <c r="J356" s="12"/>
      <c r="K356" s="11"/>
      <c r="L356" s="13">
        <f>IF(G356="","",IF(I356="Sold",IF(K356="","",K356-G356),TODAY()-G356))</f>
      </c>
      <c r="M356" s="14">
        <f>IF(J356="","",J356-E356)</f>
      </c>
      <c r="N356" s="13">
        <f>IF(OR(G356="",I356&lt;&gt;"Listed"),"",IF(TODAY()-G356&gt;60,"Reprice or move it",IF(TODAY()-G356&gt;30,"Check price","")))</f>
      </c>
    </row>
    <row r="357" spans="1:14" x14ac:dyDescent="0.25">
      <c r="A357" s="10"/>
      <c r="B357" s="10"/>
      <c r="C357" s="10"/>
      <c r="D357" s="11"/>
      <c r="E357" s="12"/>
      <c r="F357" s="10"/>
      <c r="G357" s="11"/>
      <c r="H357" s="12"/>
      <c r="I357" s="10"/>
      <c r="J357" s="12"/>
      <c r="K357" s="11"/>
      <c r="L357" s="13">
        <f>IF(G357="","",IF(I357="Sold",IF(K357="","",K357-G357),TODAY()-G357))</f>
      </c>
      <c r="M357" s="14">
        <f>IF(J357="","",J357-E357)</f>
      </c>
      <c r="N357" s="13">
        <f>IF(OR(G357="",I357&lt;&gt;"Listed"),"",IF(TODAY()-G357&gt;60,"Reprice or move it",IF(TODAY()-G357&gt;30,"Check price","")))</f>
      </c>
    </row>
    <row r="358" spans="1:14" x14ac:dyDescent="0.25">
      <c r="A358" s="10"/>
      <c r="B358" s="10"/>
      <c r="C358" s="10"/>
      <c r="D358" s="11"/>
      <c r="E358" s="12"/>
      <c r="F358" s="10"/>
      <c r="G358" s="11"/>
      <c r="H358" s="12"/>
      <c r="I358" s="10"/>
      <c r="J358" s="12"/>
      <c r="K358" s="11"/>
      <c r="L358" s="13">
        <f>IF(G358="","",IF(I358="Sold",IF(K358="","",K358-G358),TODAY()-G358))</f>
      </c>
      <c r="M358" s="14">
        <f>IF(J358="","",J358-E358)</f>
      </c>
      <c r="N358" s="13">
        <f>IF(OR(G358="",I358&lt;&gt;"Listed"),"",IF(TODAY()-G358&gt;60,"Reprice or move it",IF(TODAY()-G358&gt;30,"Check price","")))</f>
      </c>
    </row>
    <row r="359" spans="1:14" x14ac:dyDescent="0.25">
      <c r="A359" s="10"/>
      <c r="B359" s="10"/>
      <c r="C359" s="10"/>
      <c r="D359" s="11"/>
      <c r="E359" s="12"/>
      <c r="F359" s="10"/>
      <c r="G359" s="11"/>
      <c r="H359" s="12"/>
      <c r="I359" s="10"/>
      <c r="J359" s="12"/>
      <c r="K359" s="11"/>
      <c r="L359" s="13">
        <f>IF(G359="","",IF(I359="Sold",IF(K359="","",K359-G359),TODAY()-G359))</f>
      </c>
      <c r="M359" s="14">
        <f>IF(J359="","",J359-E359)</f>
      </c>
      <c r="N359" s="13">
        <f>IF(OR(G359="",I359&lt;&gt;"Listed"),"",IF(TODAY()-G359&gt;60,"Reprice or move it",IF(TODAY()-G359&gt;30,"Check price","")))</f>
      </c>
    </row>
    <row r="360" spans="1:14" x14ac:dyDescent="0.25">
      <c r="A360" s="10"/>
      <c r="B360" s="10"/>
      <c r="C360" s="10"/>
      <c r="D360" s="11"/>
      <c r="E360" s="12"/>
      <c r="F360" s="10"/>
      <c r="G360" s="11"/>
      <c r="H360" s="12"/>
      <c r="I360" s="10"/>
      <c r="J360" s="12"/>
      <c r="K360" s="11"/>
      <c r="L360" s="13">
        <f>IF(G360="","",IF(I360="Sold",IF(K360="","",K360-G360),TODAY()-G360))</f>
      </c>
      <c r="M360" s="14">
        <f>IF(J360="","",J360-E360)</f>
      </c>
      <c r="N360" s="13">
        <f>IF(OR(G360="",I360&lt;&gt;"Listed"),"",IF(TODAY()-G360&gt;60,"Reprice or move it",IF(TODAY()-G360&gt;30,"Check price","")))</f>
      </c>
    </row>
    <row r="361" spans="1:14" x14ac:dyDescent="0.25">
      <c r="A361" s="10"/>
      <c r="B361" s="10"/>
      <c r="C361" s="10"/>
      <c r="D361" s="11"/>
      <c r="E361" s="12"/>
      <c r="F361" s="10"/>
      <c r="G361" s="11"/>
      <c r="H361" s="12"/>
      <c r="I361" s="10"/>
      <c r="J361" s="12"/>
      <c r="K361" s="11"/>
      <c r="L361" s="13">
        <f>IF(G361="","",IF(I361="Sold",IF(K361="","",K361-G361),TODAY()-G361))</f>
      </c>
      <c r="M361" s="14">
        <f>IF(J361="","",J361-E361)</f>
      </c>
      <c r="N361" s="13">
        <f>IF(OR(G361="",I361&lt;&gt;"Listed"),"",IF(TODAY()-G361&gt;60,"Reprice or move it",IF(TODAY()-G361&gt;30,"Check price","")))</f>
      </c>
    </row>
    <row r="362" spans="1:14" x14ac:dyDescent="0.25">
      <c r="A362" s="10"/>
      <c r="B362" s="10"/>
      <c r="C362" s="10"/>
      <c r="D362" s="11"/>
      <c r="E362" s="12"/>
      <c r="F362" s="10"/>
      <c r="G362" s="11"/>
      <c r="H362" s="12"/>
      <c r="I362" s="10"/>
      <c r="J362" s="12"/>
      <c r="K362" s="11"/>
      <c r="L362" s="13">
        <f>IF(G362="","",IF(I362="Sold",IF(K362="","",K362-G362),TODAY()-G362))</f>
      </c>
      <c r="M362" s="14">
        <f>IF(J362="","",J362-E362)</f>
      </c>
      <c r="N362" s="13">
        <f>IF(OR(G362="",I362&lt;&gt;"Listed"),"",IF(TODAY()-G362&gt;60,"Reprice or move it",IF(TODAY()-G362&gt;30,"Check price","")))</f>
      </c>
    </row>
    <row r="363" spans="1:14" x14ac:dyDescent="0.25">
      <c r="A363" s="10"/>
      <c r="B363" s="10"/>
      <c r="C363" s="10"/>
      <c r="D363" s="11"/>
      <c r="E363" s="12"/>
      <c r="F363" s="10"/>
      <c r="G363" s="11"/>
      <c r="H363" s="12"/>
      <c r="I363" s="10"/>
      <c r="J363" s="12"/>
      <c r="K363" s="11"/>
      <c r="L363" s="13">
        <f>IF(G363="","",IF(I363="Sold",IF(K363="","",K363-G363),TODAY()-G363))</f>
      </c>
      <c r="M363" s="14">
        <f>IF(J363="","",J363-E363)</f>
      </c>
      <c r="N363" s="13">
        <f>IF(OR(G363="",I363&lt;&gt;"Listed"),"",IF(TODAY()-G363&gt;60,"Reprice or move it",IF(TODAY()-G363&gt;30,"Check price","")))</f>
      </c>
    </row>
    <row r="364" spans="1:14" x14ac:dyDescent="0.25">
      <c r="A364" s="10"/>
      <c r="B364" s="10"/>
      <c r="C364" s="10"/>
      <c r="D364" s="11"/>
      <c r="E364" s="12"/>
      <c r="F364" s="10"/>
      <c r="G364" s="11"/>
      <c r="H364" s="12"/>
      <c r="I364" s="10"/>
      <c r="J364" s="12"/>
      <c r="K364" s="11"/>
      <c r="L364" s="13">
        <f>IF(G364="","",IF(I364="Sold",IF(K364="","",K364-G364),TODAY()-G364))</f>
      </c>
      <c r="M364" s="14">
        <f>IF(J364="","",J364-E364)</f>
      </c>
      <c r="N364" s="13">
        <f>IF(OR(G364="",I364&lt;&gt;"Listed"),"",IF(TODAY()-G364&gt;60,"Reprice or move it",IF(TODAY()-G364&gt;30,"Check price","")))</f>
      </c>
    </row>
    <row r="365" spans="1:14" x14ac:dyDescent="0.25">
      <c r="A365" s="10"/>
      <c r="B365" s="10"/>
      <c r="C365" s="10"/>
      <c r="D365" s="11"/>
      <c r="E365" s="12"/>
      <c r="F365" s="10"/>
      <c r="G365" s="11"/>
      <c r="H365" s="12"/>
      <c r="I365" s="10"/>
      <c r="J365" s="12"/>
      <c r="K365" s="11"/>
      <c r="L365" s="13">
        <f>IF(G365="","",IF(I365="Sold",IF(K365="","",K365-G365),TODAY()-G365))</f>
      </c>
      <c r="M365" s="14">
        <f>IF(J365="","",J365-E365)</f>
      </c>
      <c r="N365" s="13">
        <f>IF(OR(G365="",I365&lt;&gt;"Listed"),"",IF(TODAY()-G365&gt;60,"Reprice or move it",IF(TODAY()-G365&gt;30,"Check price","")))</f>
      </c>
    </row>
    <row r="366" spans="1:14" x14ac:dyDescent="0.25">
      <c r="A366" s="10"/>
      <c r="B366" s="10"/>
      <c r="C366" s="10"/>
      <c r="D366" s="11"/>
      <c r="E366" s="12"/>
      <c r="F366" s="10"/>
      <c r="G366" s="11"/>
      <c r="H366" s="12"/>
      <c r="I366" s="10"/>
      <c r="J366" s="12"/>
      <c r="K366" s="11"/>
      <c r="L366" s="13">
        <f>IF(G366="","",IF(I366="Sold",IF(K366="","",K366-G366),TODAY()-G366))</f>
      </c>
      <c r="M366" s="14">
        <f>IF(J366="","",J366-E366)</f>
      </c>
      <c r="N366" s="13">
        <f>IF(OR(G366="",I366&lt;&gt;"Listed"),"",IF(TODAY()-G366&gt;60,"Reprice or move it",IF(TODAY()-G366&gt;30,"Check price","")))</f>
      </c>
    </row>
    <row r="367" spans="1:14" x14ac:dyDescent="0.25">
      <c r="A367" s="10"/>
      <c r="B367" s="10"/>
      <c r="C367" s="10"/>
      <c r="D367" s="11"/>
      <c r="E367" s="12"/>
      <c r="F367" s="10"/>
      <c r="G367" s="11"/>
      <c r="H367" s="12"/>
      <c r="I367" s="10"/>
      <c r="J367" s="12"/>
      <c r="K367" s="11"/>
      <c r="L367" s="13">
        <f>IF(G367="","",IF(I367="Sold",IF(K367="","",K367-G367),TODAY()-G367))</f>
      </c>
      <c r="M367" s="14">
        <f>IF(J367="","",J367-E367)</f>
      </c>
      <c r="N367" s="13">
        <f>IF(OR(G367="",I367&lt;&gt;"Listed"),"",IF(TODAY()-G367&gt;60,"Reprice or move it",IF(TODAY()-G367&gt;30,"Check price","")))</f>
      </c>
    </row>
    <row r="368" spans="1:14" x14ac:dyDescent="0.25">
      <c r="A368" s="10"/>
      <c r="B368" s="10"/>
      <c r="C368" s="10"/>
      <c r="D368" s="11"/>
      <c r="E368" s="12"/>
      <c r="F368" s="10"/>
      <c r="G368" s="11"/>
      <c r="H368" s="12"/>
      <c r="I368" s="10"/>
      <c r="J368" s="12"/>
      <c r="K368" s="11"/>
      <c r="L368" s="13">
        <f>IF(G368="","",IF(I368="Sold",IF(K368="","",K368-G368),TODAY()-G368))</f>
      </c>
      <c r="M368" s="14">
        <f>IF(J368="","",J368-E368)</f>
      </c>
      <c r="N368" s="13">
        <f>IF(OR(G368="",I368&lt;&gt;"Listed"),"",IF(TODAY()-G368&gt;60,"Reprice or move it",IF(TODAY()-G368&gt;30,"Check price","")))</f>
      </c>
    </row>
    <row r="369" spans="1:14" x14ac:dyDescent="0.25">
      <c r="A369" s="10"/>
      <c r="B369" s="10"/>
      <c r="C369" s="10"/>
      <c r="D369" s="11"/>
      <c r="E369" s="12"/>
      <c r="F369" s="10"/>
      <c r="G369" s="11"/>
      <c r="H369" s="12"/>
      <c r="I369" s="10"/>
      <c r="J369" s="12"/>
      <c r="K369" s="11"/>
      <c r="L369" s="13">
        <f>IF(G369="","",IF(I369="Sold",IF(K369="","",K369-G369),TODAY()-G369))</f>
      </c>
      <c r="M369" s="14">
        <f>IF(J369="","",J369-E369)</f>
      </c>
      <c r="N369" s="13">
        <f>IF(OR(G369="",I369&lt;&gt;"Listed"),"",IF(TODAY()-G369&gt;60,"Reprice or move it",IF(TODAY()-G369&gt;30,"Check price","")))</f>
      </c>
    </row>
    <row r="370" spans="1:14" x14ac:dyDescent="0.25">
      <c r="A370" s="10"/>
      <c r="B370" s="10"/>
      <c r="C370" s="10"/>
      <c r="D370" s="11"/>
      <c r="E370" s="12"/>
      <c r="F370" s="10"/>
      <c r="G370" s="11"/>
      <c r="H370" s="12"/>
      <c r="I370" s="10"/>
      <c r="J370" s="12"/>
      <c r="K370" s="11"/>
      <c r="L370" s="13">
        <f>IF(G370="","",IF(I370="Sold",IF(K370="","",K370-G370),TODAY()-G370))</f>
      </c>
      <c r="M370" s="14">
        <f>IF(J370="","",J370-E370)</f>
      </c>
      <c r="N370" s="13">
        <f>IF(OR(G370="",I370&lt;&gt;"Listed"),"",IF(TODAY()-G370&gt;60,"Reprice or move it",IF(TODAY()-G370&gt;30,"Check price","")))</f>
      </c>
    </row>
    <row r="371" spans="1:14" x14ac:dyDescent="0.25">
      <c r="A371" s="10"/>
      <c r="B371" s="10"/>
      <c r="C371" s="10"/>
      <c r="D371" s="11"/>
      <c r="E371" s="12"/>
      <c r="F371" s="10"/>
      <c r="G371" s="11"/>
      <c r="H371" s="12"/>
      <c r="I371" s="10"/>
      <c r="J371" s="12"/>
      <c r="K371" s="11"/>
      <c r="L371" s="13">
        <f>IF(G371="","",IF(I371="Sold",IF(K371="","",K371-G371),TODAY()-G371))</f>
      </c>
      <c r="M371" s="14">
        <f>IF(J371="","",J371-E371)</f>
      </c>
      <c r="N371" s="13">
        <f>IF(OR(G371="",I371&lt;&gt;"Listed"),"",IF(TODAY()-G371&gt;60,"Reprice or move it",IF(TODAY()-G371&gt;30,"Check price","")))</f>
      </c>
    </row>
    <row r="372" spans="1:14" x14ac:dyDescent="0.25">
      <c r="A372" s="10"/>
      <c r="B372" s="10"/>
      <c r="C372" s="10"/>
      <c r="D372" s="11"/>
      <c r="E372" s="12"/>
      <c r="F372" s="10"/>
      <c r="G372" s="11"/>
      <c r="H372" s="12"/>
      <c r="I372" s="10"/>
      <c r="J372" s="12"/>
      <c r="K372" s="11"/>
      <c r="L372" s="13">
        <f>IF(G372="","",IF(I372="Sold",IF(K372="","",K372-G372),TODAY()-G372))</f>
      </c>
      <c r="M372" s="14">
        <f>IF(J372="","",J372-E372)</f>
      </c>
      <c r="N372" s="13">
        <f>IF(OR(G372="",I372&lt;&gt;"Listed"),"",IF(TODAY()-G372&gt;60,"Reprice or move it",IF(TODAY()-G372&gt;30,"Check price","")))</f>
      </c>
    </row>
    <row r="373" spans="1:14" x14ac:dyDescent="0.25">
      <c r="A373" s="10"/>
      <c r="B373" s="10"/>
      <c r="C373" s="10"/>
      <c r="D373" s="11"/>
      <c r="E373" s="12"/>
      <c r="F373" s="10"/>
      <c r="G373" s="11"/>
      <c r="H373" s="12"/>
      <c r="I373" s="10"/>
      <c r="J373" s="12"/>
      <c r="K373" s="11"/>
      <c r="L373" s="13">
        <f>IF(G373="","",IF(I373="Sold",IF(K373="","",K373-G373),TODAY()-G373))</f>
      </c>
      <c r="M373" s="14">
        <f>IF(J373="","",J373-E373)</f>
      </c>
      <c r="N373" s="13">
        <f>IF(OR(G373="",I373&lt;&gt;"Listed"),"",IF(TODAY()-G373&gt;60,"Reprice or move it",IF(TODAY()-G373&gt;30,"Check price","")))</f>
      </c>
    </row>
    <row r="374" spans="1:14" x14ac:dyDescent="0.25">
      <c r="A374" s="10"/>
      <c r="B374" s="10"/>
      <c r="C374" s="10"/>
      <c r="D374" s="11"/>
      <c r="E374" s="12"/>
      <c r="F374" s="10"/>
      <c r="G374" s="11"/>
      <c r="H374" s="12"/>
      <c r="I374" s="10"/>
      <c r="J374" s="12"/>
      <c r="K374" s="11"/>
      <c r="L374" s="13">
        <f>IF(G374="","",IF(I374="Sold",IF(K374="","",K374-G374),TODAY()-G374))</f>
      </c>
      <c r="M374" s="14">
        <f>IF(J374="","",J374-E374)</f>
      </c>
      <c r="N374" s="13">
        <f>IF(OR(G374="",I374&lt;&gt;"Listed"),"",IF(TODAY()-G374&gt;60,"Reprice or move it",IF(TODAY()-G374&gt;30,"Check price","")))</f>
      </c>
    </row>
    <row r="375" spans="1:14" x14ac:dyDescent="0.25">
      <c r="A375" s="10"/>
      <c r="B375" s="10"/>
      <c r="C375" s="10"/>
      <c r="D375" s="11"/>
      <c r="E375" s="12"/>
      <c r="F375" s="10"/>
      <c r="G375" s="11"/>
      <c r="H375" s="12"/>
      <c r="I375" s="10"/>
      <c r="J375" s="12"/>
      <c r="K375" s="11"/>
      <c r="L375" s="13">
        <f>IF(G375="","",IF(I375="Sold",IF(K375="","",K375-G375),TODAY()-G375))</f>
      </c>
      <c r="M375" s="14">
        <f>IF(J375="","",J375-E375)</f>
      </c>
      <c r="N375" s="13">
        <f>IF(OR(G375="",I375&lt;&gt;"Listed"),"",IF(TODAY()-G375&gt;60,"Reprice or move it",IF(TODAY()-G375&gt;30,"Check price","")))</f>
      </c>
    </row>
    <row r="376" spans="1:14" x14ac:dyDescent="0.25">
      <c r="A376" s="10"/>
      <c r="B376" s="10"/>
      <c r="C376" s="10"/>
      <c r="D376" s="11"/>
      <c r="E376" s="12"/>
      <c r="F376" s="10"/>
      <c r="G376" s="11"/>
      <c r="H376" s="12"/>
      <c r="I376" s="10"/>
      <c r="J376" s="12"/>
      <c r="K376" s="11"/>
      <c r="L376" s="13">
        <f>IF(G376="","",IF(I376="Sold",IF(K376="","",K376-G376),TODAY()-G376))</f>
      </c>
      <c r="M376" s="14">
        <f>IF(J376="","",J376-E376)</f>
      </c>
      <c r="N376" s="13">
        <f>IF(OR(G376="",I376&lt;&gt;"Listed"),"",IF(TODAY()-G376&gt;60,"Reprice or move it",IF(TODAY()-G376&gt;30,"Check price","")))</f>
      </c>
    </row>
    <row r="377" spans="1:14" x14ac:dyDescent="0.25">
      <c r="A377" s="10"/>
      <c r="B377" s="10"/>
      <c r="C377" s="10"/>
      <c r="D377" s="11"/>
      <c r="E377" s="12"/>
      <c r="F377" s="10"/>
      <c r="G377" s="11"/>
      <c r="H377" s="12"/>
      <c r="I377" s="10"/>
      <c r="J377" s="12"/>
      <c r="K377" s="11"/>
      <c r="L377" s="13">
        <f>IF(G377="","",IF(I377="Sold",IF(K377="","",K377-G377),TODAY()-G377))</f>
      </c>
      <c r="M377" s="14">
        <f>IF(J377="","",J377-E377)</f>
      </c>
      <c r="N377" s="13">
        <f>IF(OR(G377="",I377&lt;&gt;"Listed"),"",IF(TODAY()-G377&gt;60,"Reprice or move it",IF(TODAY()-G377&gt;30,"Check price","")))</f>
      </c>
    </row>
    <row r="378" spans="1:14" x14ac:dyDescent="0.25">
      <c r="A378" s="10"/>
      <c r="B378" s="10"/>
      <c r="C378" s="10"/>
      <c r="D378" s="11"/>
      <c r="E378" s="12"/>
      <c r="F378" s="10"/>
      <c r="G378" s="11"/>
      <c r="H378" s="12"/>
      <c r="I378" s="10"/>
      <c r="J378" s="12"/>
      <c r="K378" s="11"/>
      <c r="L378" s="13">
        <f>IF(G378="","",IF(I378="Sold",IF(K378="","",K378-G378),TODAY()-G378))</f>
      </c>
      <c r="M378" s="14">
        <f>IF(J378="","",J378-E378)</f>
      </c>
      <c r="N378" s="13">
        <f>IF(OR(G378="",I378&lt;&gt;"Listed"),"",IF(TODAY()-G378&gt;60,"Reprice or move it",IF(TODAY()-G378&gt;30,"Check price","")))</f>
      </c>
    </row>
    <row r="379" spans="1:14" x14ac:dyDescent="0.25">
      <c r="A379" s="10"/>
      <c r="B379" s="10"/>
      <c r="C379" s="10"/>
      <c r="D379" s="11"/>
      <c r="E379" s="12"/>
      <c r="F379" s="10"/>
      <c r="G379" s="11"/>
      <c r="H379" s="12"/>
      <c r="I379" s="10"/>
      <c r="J379" s="12"/>
      <c r="K379" s="11"/>
      <c r="L379" s="13">
        <f>IF(G379="","",IF(I379="Sold",IF(K379="","",K379-G379),TODAY()-G379))</f>
      </c>
      <c r="M379" s="14">
        <f>IF(J379="","",J379-E379)</f>
      </c>
      <c r="N379" s="13">
        <f>IF(OR(G379="",I379&lt;&gt;"Listed"),"",IF(TODAY()-G379&gt;60,"Reprice or move it",IF(TODAY()-G379&gt;30,"Check price","")))</f>
      </c>
    </row>
    <row r="380" spans="1:14" x14ac:dyDescent="0.25">
      <c r="A380" s="10"/>
      <c r="B380" s="10"/>
      <c r="C380" s="10"/>
      <c r="D380" s="11"/>
      <c r="E380" s="12"/>
      <c r="F380" s="10"/>
      <c r="G380" s="11"/>
      <c r="H380" s="12"/>
      <c r="I380" s="10"/>
      <c r="J380" s="12"/>
      <c r="K380" s="11"/>
      <c r="L380" s="13">
        <f>IF(G380="","",IF(I380="Sold",IF(K380="","",K380-G380),TODAY()-G380))</f>
      </c>
      <c r="M380" s="14">
        <f>IF(J380="","",J380-E380)</f>
      </c>
      <c r="N380" s="13">
        <f>IF(OR(G380="",I380&lt;&gt;"Listed"),"",IF(TODAY()-G380&gt;60,"Reprice or move it",IF(TODAY()-G380&gt;30,"Check price","")))</f>
      </c>
    </row>
    <row r="381" spans="1:14" x14ac:dyDescent="0.25">
      <c r="A381" s="10"/>
      <c r="B381" s="10"/>
      <c r="C381" s="10"/>
      <c r="D381" s="11"/>
      <c r="E381" s="12"/>
      <c r="F381" s="10"/>
      <c r="G381" s="11"/>
      <c r="H381" s="12"/>
      <c r="I381" s="10"/>
      <c r="J381" s="12"/>
      <c r="K381" s="11"/>
      <c r="L381" s="13">
        <f>IF(G381="","",IF(I381="Sold",IF(K381="","",K381-G381),TODAY()-G381))</f>
      </c>
      <c r="M381" s="14">
        <f>IF(J381="","",J381-E381)</f>
      </c>
      <c r="N381" s="13">
        <f>IF(OR(G381="",I381&lt;&gt;"Listed"),"",IF(TODAY()-G381&gt;60,"Reprice or move it",IF(TODAY()-G381&gt;30,"Check price","")))</f>
      </c>
    </row>
    <row r="382" spans="1:14" x14ac:dyDescent="0.25">
      <c r="A382" s="10"/>
      <c r="B382" s="10"/>
      <c r="C382" s="10"/>
      <c r="D382" s="11"/>
      <c r="E382" s="12"/>
      <c r="F382" s="10"/>
      <c r="G382" s="11"/>
      <c r="H382" s="12"/>
      <c r="I382" s="10"/>
      <c r="J382" s="12"/>
      <c r="K382" s="11"/>
      <c r="L382" s="13">
        <f>IF(G382="","",IF(I382="Sold",IF(K382="","",K382-G382),TODAY()-G382))</f>
      </c>
      <c r="M382" s="14">
        <f>IF(J382="","",J382-E382)</f>
      </c>
      <c r="N382" s="13">
        <f>IF(OR(G382="",I382&lt;&gt;"Listed"),"",IF(TODAY()-G382&gt;60,"Reprice or move it",IF(TODAY()-G382&gt;30,"Check price","")))</f>
      </c>
    </row>
    <row r="383" spans="1:14" x14ac:dyDescent="0.25">
      <c r="A383" s="10"/>
      <c r="B383" s="10"/>
      <c r="C383" s="10"/>
      <c r="D383" s="11"/>
      <c r="E383" s="12"/>
      <c r="F383" s="10"/>
      <c r="G383" s="11"/>
      <c r="H383" s="12"/>
      <c r="I383" s="10"/>
      <c r="J383" s="12"/>
      <c r="K383" s="11"/>
      <c r="L383" s="13">
        <f>IF(G383="","",IF(I383="Sold",IF(K383="","",K383-G383),TODAY()-G383))</f>
      </c>
      <c r="M383" s="14">
        <f>IF(J383="","",J383-E383)</f>
      </c>
      <c r="N383" s="13">
        <f>IF(OR(G383="",I383&lt;&gt;"Listed"),"",IF(TODAY()-G383&gt;60,"Reprice or move it",IF(TODAY()-G383&gt;30,"Check price","")))</f>
      </c>
    </row>
    <row r="384" spans="1:14" x14ac:dyDescent="0.25">
      <c r="A384" s="10"/>
      <c r="B384" s="10"/>
      <c r="C384" s="10"/>
      <c r="D384" s="11"/>
      <c r="E384" s="12"/>
      <c r="F384" s="10"/>
      <c r="G384" s="11"/>
      <c r="H384" s="12"/>
      <c r="I384" s="10"/>
      <c r="J384" s="12"/>
      <c r="K384" s="11"/>
      <c r="L384" s="13">
        <f>IF(G384="","",IF(I384="Sold",IF(K384="","",K384-G384),TODAY()-G384))</f>
      </c>
      <c r="M384" s="14">
        <f>IF(J384="","",J384-E384)</f>
      </c>
      <c r="N384" s="13">
        <f>IF(OR(G384="",I384&lt;&gt;"Listed"),"",IF(TODAY()-G384&gt;60,"Reprice or move it",IF(TODAY()-G384&gt;30,"Check price","")))</f>
      </c>
    </row>
    <row r="385" spans="1:14" x14ac:dyDescent="0.25">
      <c r="A385" s="10"/>
      <c r="B385" s="10"/>
      <c r="C385" s="10"/>
      <c r="D385" s="11"/>
      <c r="E385" s="12"/>
      <c r="F385" s="10"/>
      <c r="G385" s="11"/>
      <c r="H385" s="12"/>
      <c r="I385" s="10"/>
      <c r="J385" s="12"/>
      <c r="K385" s="11"/>
      <c r="L385" s="13">
        <f>IF(G385="","",IF(I385="Sold",IF(K385="","",K385-G385),TODAY()-G385))</f>
      </c>
      <c r="M385" s="14">
        <f>IF(J385="","",J385-E385)</f>
      </c>
      <c r="N385" s="13">
        <f>IF(OR(G385="",I385&lt;&gt;"Listed"),"",IF(TODAY()-G385&gt;60,"Reprice or move it",IF(TODAY()-G385&gt;30,"Check price","")))</f>
      </c>
    </row>
    <row r="386" spans="1:14" x14ac:dyDescent="0.25">
      <c r="A386" s="10"/>
      <c r="B386" s="10"/>
      <c r="C386" s="10"/>
      <c r="D386" s="11"/>
      <c r="E386" s="12"/>
      <c r="F386" s="10"/>
      <c r="G386" s="11"/>
      <c r="H386" s="12"/>
      <c r="I386" s="10"/>
      <c r="J386" s="12"/>
      <c r="K386" s="11"/>
      <c r="L386" s="13">
        <f>IF(G386="","",IF(I386="Sold",IF(K386="","",K386-G386),TODAY()-G386))</f>
      </c>
      <c r="M386" s="14">
        <f>IF(J386="","",J386-E386)</f>
      </c>
      <c r="N386" s="13">
        <f>IF(OR(G386="",I386&lt;&gt;"Listed"),"",IF(TODAY()-G386&gt;60,"Reprice or move it",IF(TODAY()-G386&gt;30,"Check price","")))</f>
      </c>
    </row>
    <row r="387" spans="1:14" x14ac:dyDescent="0.25">
      <c r="A387" s="10"/>
      <c r="B387" s="10"/>
      <c r="C387" s="10"/>
      <c r="D387" s="11"/>
      <c r="E387" s="12"/>
      <c r="F387" s="10"/>
      <c r="G387" s="11"/>
      <c r="H387" s="12"/>
      <c r="I387" s="10"/>
      <c r="J387" s="12"/>
      <c r="K387" s="11"/>
      <c r="L387" s="13">
        <f>IF(G387="","",IF(I387="Sold",IF(K387="","",K387-G387),TODAY()-G387))</f>
      </c>
      <c r="M387" s="14">
        <f>IF(J387="","",J387-E387)</f>
      </c>
      <c r="N387" s="13">
        <f>IF(OR(G387="",I387&lt;&gt;"Listed"),"",IF(TODAY()-G387&gt;60,"Reprice or move it",IF(TODAY()-G387&gt;30,"Check price","")))</f>
      </c>
    </row>
    <row r="388" spans="1:14" x14ac:dyDescent="0.25">
      <c r="A388" s="10"/>
      <c r="B388" s="10"/>
      <c r="C388" s="10"/>
      <c r="D388" s="11"/>
      <c r="E388" s="12"/>
      <c r="F388" s="10"/>
      <c r="G388" s="11"/>
      <c r="H388" s="12"/>
      <c r="I388" s="10"/>
      <c r="J388" s="12"/>
      <c r="K388" s="11"/>
      <c r="L388" s="13">
        <f>IF(G388="","",IF(I388="Sold",IF(K388="","",K388-G388),TODAY()-G388))</f>
      </c>
      <c r="M388" s="14">
        <f>IF(J388="","",J388-E388)</f>
      </c>
      <c r="N388" s="13">
        <f>IF(OR(G388="",I388&lt;&gt;"Listed"),"",IF(TODAY()-G388&gt;60,"Reprice or move it",IF(TODAY()-G388&gt;30,"Check price","")))</f>
      </c>
    </row>
    <row r="389" spans="1:14" x14ac:dyDescent="0.25">
      <c r="A389" s="10"/>
      <c r="B389" s="10"/>
      <c r="C389" s="10"/>
      <c r="D389" s="11"/>
      <c r="E389" s="12"/>
      <c r="F389" s="10"/>
      <c r="G389" s="11"/>
      <c r="H389" s="12"/>
      <c r="I389" s="10"/>
      <c r="J389" s="12"/>
      <c r="K389" s="11"/>
      <c r="L389" s="13">
        <f>IF(G389="","",IF(I389="Sold",IF(K389="","",K389-G389),TODAY()-G389))</f>
      </c>
      <c r="M389" s="14">
        <f>IF(J389="","",J389-E389)</f>
      </c>
      <c r="N389" s="13">
        <f>IF(OR(G389="",I389&lt;&gt;"Listed"),"",IF(TODAY()-G389&gt;60,"Reprice or move it",IF(TODAY()-G389&gt;30,"Check price","")))</f>
      </c>
    </row>
    <row r="390" spans="1:14" x14ac:dyDescent="0.25">
      <c r="A390" s="10"/>
      <c r="B390" s="10"/>
      <c r="C390" s="10"/>
      <c r="D390" s="11"/>
      <c r="E390" s="12"/>
      <c r="F390" s="10"/>
      <c r="G390" s="11"/>
      <c r="H390" s="12"/>
      <c r="I390" s="10"/>
      <c r="J390" s="12"/>
      <c r="K390" s="11"/>
      <c r="L390" s="13">
        <f>IF(G390="","",IF(I390="Sold",IF(K390="","",K390-G390),TODAY()-G390))</f>
      </c>
      <c r="M390" s="14">
        <f>IF(J390="","",J390-E390)</f>
      </c>
      <c r="N390" s="13">
        <f>IF(OR(G390="",I390&lt;&gt;"Listed"),"",IF(TODAY()-G390&gt;60,"Reprice or move it",IF(TODAY()-G390&gt;30,"Check price","")))</f>
      </c>
    </row>
    <row r="391" spans="1:14" x14ac:dyDescent="0.25">
      <c r="A391" s="10"/>
      <c r="B391" s="10"/>
      <c r="C391" s="10"/>
      <c r="D391" s="11"/>
      <c r="E391" s="12"/>
      <c r="F391" s="10"/>
      <c r="G391" s="11"/>
      <c r="H391" s="12"/>
      <c r="I391" s="10"/>
      <c r="J391" s="12"/>
      <c r="K391" s="11"/>
      <c r="L391" s="13">
        <f>IF(G391="","",IF(I391="Sold",IF(K391="","",K391-G391),TODAY()-G391))</f>
      </c>
      <c r="M391" s="14">
        <f>IF(J391="","",J391-E391)</f>
      </c>
      <c r="N391" s="13">
        <f>IF(OR(G391="",I391&lt;&gt;"Listed"),"",IF(TODAY()-G391&gt;60,"Reprice or move it",IF(TODAY()-G391&gt;30,"Check price","")))</f>
      </c>
    </row>
    <row r="392" spans="1:14" x14ac:dyDescent="0.25">
      <c r="A392" s="10"/>
      <c r="B392" s="10"/>
      <c r="C392" s="10"/>
      <c r="D392" s="11"/>
      <c r="E392" s="12"/>
      <c r="F392" s="10"/>
      <c r="G392" s="11"/>
      <c r="H392" s="12"/>
      <c r="I392" s="10"/>
      <c r="J392" s="12"/>
      <c r="K392" s="11"/>
      <c r="L392" s="13">
        <f>IF(G392="","",IF(I392="Sold",IF(K392="","",K392-G392),TODAY()-G392))</f>
      </c>
      <c r="M392" s="14">
        <f>IF(J392="","",J392-E392)</f>
      </c>
      <c r="N392" s="13">
        <f>IF(OR(G392="",I392&lt;&gt;"Listed"),"",IF(TODAY()-G392&gt;60,"Reprice or move it",IF(TODAY()-G392&gt;30,"Check price","")))</f>
      </c>
    </row>
    <row r="393" spans="1:14" x14ac:dyDescent="0.25">
      <c r="A393" s="10"/>
      <c r="B393" s="10"/>
      <c r="C393" s="10"/>
      <c r="D393" s="11"/>
      <c r="E393" s="12"/>
      <c r="F393" s="10"/>
      <c r="G393" s="11"/>
      <c r="H393" s="12"/>
      <c r="I393" s="10"/>
      <c r="J393" s="12"/>
      <c r="K393" s="11"/>
      <c r="L393" s="13">
        <f>IF(G393="","",IF(I393="Sold",IF(K393="","",K393-G393),TODAY()-G393))</f>
      </c>
      <c r="M393" s="14">
        <f>IF(J393="","",J393-E393)</f>
      </c>
      <c r="N393" s="13">
        <f>IF(OR(G393="",I393&lt;&gt;"Listed"),"",IF(TODAY()-G393&gt;60,"Reprice or move it",IF(TODAY()-G393&gt;30,"Check price","")))</f>
      </c>
    </row>
    <row r="394" spans="1:14" x14ac:dyDescent="0.25">
      <c r="A394" s="10"/>
      <c r="B394" s="10"/>
      <c r="C394" s="10"/>
      <c r="D394" s="11"/>
      <c r="E394" s="12"/>
      <c r="F394" s="10"/>
      <c r="G394" s="11"/>
      <c r="H394" s="12"/>
      <c r="I394" s="10"/>
      <c r="J394" s="12"/>
      <c r="K394" s="11"/>
      <c r="L394" s="13">
        <f>IF(G394="","",IF(I394="Sold",IF(K394="","",K394-G394),TODAY()-G394))</f>
      </c>
      <c r="M394" s="14">
        <f>IF(J394="","",J394-E394)</f>
      </c>
      <c r="N394" s="13">
        <f>IF(OR(G394="",I394&lt;&gt;"Listed"),"",IF(TODAY()-G394&gt;60,"Reprice or move it",IF(TODAY()-G394&gt;30,"Check price","")))</f>
      </c>
    </row>
    <row r="395" spans="1:14" x14ac:dyDescent="0.25">
      <c r="A395" s="10"/>
      <c r="B395" s="10"/>
      <c r="C395" s="10"/>
      <c r="D395" s="11"/>
      <c r="E395" s="12"/>
      <c r="F395" s="10"/>
      <c r="G395" s="11"/>
      <c r="H395" s="12"/>
      <c r="I395" s="10"/>
      <c r="J395" s="12"/>
      <c r="K395" s="11"/>
      <c r="L395" s="13">
        <f>IF(G395="","",IF(I395="Sold",IF(K395="","",K395-G395),TODAY()-G395))</f>
      </c>
      <c r="M395" s="14">
        <f>IF(J395="","",J395-E395)</f>
      </c>
      <c r="N395" s="13">
        <f>IF(OR(G395="",I395&lt;&gt;"Listed"),"",IF(TODAY()-G395&gt;60,"Reprice or move it",IF(TODAY()-G395&gt;30,"Check price","")))</f>
      </c>
    </row>
    <row r="396" spans="1:14" x14ac:dyDescent="0.25">
      <c r="A396" s="10"/>
      <c r="B396" s="10"/>
      <c r="C396" s="10"/>
      <c r="D396" s="11"/>
      <c r="E396" s="12"/>
      <c r="F396" s="10"/>
      <c r="G396" s="11"/>
      <c r="H396" s="12"/>
      <c r="I396" s="10"/>
      <c r="J396" s="12"/>
      <c r="K396" s="11"/>
      <c r="L396" s="13">
        <f>IF(G396="","",IF(I396="Sold",IF(K396="","",K396-G396),TODAY()-G396))</f>
      </c>
      <c r="M396" s="14">
        <f>IF(J396="","",J396-E396)</f>
      </c>
      <c r="N396" s="13">
        <f>IF(OR(G396="",I396&lt;&gt;"Listed"),"",IF(TODAY()-G396&gt;60,"Reprice or move it",IF(TODAY()-G396&gt;30,"Check price","")))</f>
      </c>
    </row>
    <row r="397" spans="1:14" x14ac:dyDescent="0.25">
      <c r="A397" s="10"/>
      <c r="B397" s="10"/>
      <c r="C397" s="10"/>
      <c r="D397" s="11"/>
      <c r="E397" s="12"/>
      <c r="F397" s="10"/>
      <c r="G397" s="11"/>
      <c r="H397" s="12"/>
      <c r="I397" s="10"/>
      <c r="J397" s="12"/>
      <c r="K397" s="11"/>
      <c r="L397" s="13">
        <f>IF(G397="","",IF(I397="Sold",IF(K397="","",K397-G397),TODAY()-G397))</f>
      </c>
      <c r="M397" s="14">
        <f>IF(J397="","",J397-E397)</f>
      </c>
      <c r="N397" s="13">
        <f>IF(OR(G397="",I397&lt;&gt;"Listed"),"",IF(TODAY()-G397&gt;60,"Reprice or move it",IF(TODAY()-G397&gt;30,"Check price","")))</f>
      </c>
    </row>
    <row r="398" spans="1:14" x14ac:dyDescent="0.25">
      <c r="A398" s="10"/>
      <c r="B398" s="10"/>
      <c r="C398" s="10"/>
      <c r="D398" s="11"/>
      <c r="E398" s="12"/>
      <c r="F398" s="10"/>
      <c r="G398" s="11"/>
      <c r="H398" s="12"/>
      <c r="I398" s="10"/>
      <c r="J398" s="12"/>
      <c r="K398" s="11"/>
      <c r="L398" s="13">
        <f>IF(G398="","",IF(I398="Sold",IF(K398="","",K398-G398),TODAY()-G398))</f>
      </c>
      <c r="M398" s="14">
        <f>IF(J398="","",J398-E398)</f>
      </c>
      <c r="N398" s="13">
        <f>IF(OR(G398="",I398&lt;&gt;"Listed"),"",IF(TODAY()-G398&gt;60,"Reprice or move it",IF(TODAY()-G398&gt;30,"Check price","")))</f>
      </c>
    </row>
    <row r="399" spans="1:14" x14ac:dyDescent="0.25">
      <c r="A399" s="10"/>
      <c r="B399" s="10"/>
      <c r="C399" s="10"/>
      <c r="D399" s="11"/>
      <c r="E399" s="12"/>
      <c r="F399" s="10"/>
      <c r="G399" s="11"/>
      <c r="H399" s="12"/>
      <c r="I399" s="10"/>
      <c r="J399" s="12"/>
      <c r="K399" s="11"/>
      <c r="L399" s="13">
        <f>IF(G399="","",IF(I399="Sold",IF(K399="","",K399-G399),TODAY()-G399))</f>
      </c>
      <c r="M399" s="14">
        <f>IF(J399="","",J399-E399)</f>
      </c>
      <c r="N399" s="13">
        <f>IF(OR(G399="",I399&lt;&gt;"Listed"),"",IF(TODAY()-G399&gt;60,"Reprice or move it",IF(TODAY()-G399&gt;30,"Check price","")))</f>
      </c>
    </row>
    <row r="400" spans="1:14" x14ac:dyDescent="0.25">
      <c r="A400" s="10"/>
      <c r="B400" s="10"/>
      <c r="C400" s="10"/>
      <c r="D400" s="11"/>
      <c r="E400" s="12"/>
      <c r="F400" s="10"/>
      <c r="G400" s="11"/>
      <c r="H400" s="12"/>
      <c r="I400" s="10"/>
      <c r="J400" s="12"/>
      <c r="K400" s="11"/>
      <c r="L400" s="13">
        <f>IF(G400="","",IF(I400="Sold",IF(K400="","",K400-G400),TODAY()-G400))</f>
      </c>
      <c r="M400" s="14">
        <f>IF(J400="","",J400-E400)</f>
      </c>
      <c r="N400" s="13">
        <f>IF(OR(G400="",I400&lt;&gt;"Listed"),"",IF(TODAY()-G400&gt;60,"Reprice or move it",IF(TODAY()-G400&gt;30,"Check price","")))</f>
      </c>
    </row>
    <row r="401" spans="1:14" x14ac:dyDescent="0.25">
      <c r="A401" s="10"/>
      <c r="B401" s="10"/>
      <c r="C401" s="10"/>
      <c r="D401" s="11"/>
      <c r="E401" s="12"/>
      <c r="F401" s="10"/>
      <c r="G401" s="11"/>
      <c r="H401" s="12"/>
      <c r="I401" s="10"/>
      <c r="J401" s="12"/>
      <c r="K401" s="11"/>
      <c r="L401" s="13">
        <f>IF(G401="","",IF(I401="Sold",IF(K401="","",K401-G401),TODAY()-G401))</f>
      </c>
      <c r="M401" s="14">
        <f>IF(J401="","",J401-E401)</f>
      </c>
      <c r="N401" s="13">
        <f>IF(OR(G401="",I401&lt;&gt;"Listed"),"",IF(TODAY()-G401&gt;60,"Reprice or move it",IF(TODAY()-G401&gt;30,"Check price","")))</f>
      </c>
    </row>
    <row r="402" spans="1:14" x14ac:dyDescent="0.25">
      <c r="A402" s="10"/>
      <c r="B402" s="10"/>
      <c r="C402" s="10"/>
      <c r="D402" s="11"/>
      <c r="E402" s="12"/>
      <c r="F402" s="10"/>
      <c r="G402" s="11"/>
      <c r="H402" s="12"/>
      <c r="I402" s="10"/>
      <c r="J402" s="12"/>
      <c r="K402" s="11"/>
      <c r="L402" s="13">
        <f>IF(G402="","",IF(I402="Sold",IF(K402="","",K402-G402),TODAY()-G402))</f>
      </c>
      <c r="M402" s="14">
        <f>IF(J402="","",J402-E402)</f>
      </c>
      <c r="N402" s="13">
        <f>IF(OR(G402="",I402&lt;&gt;"Listed"),"",IF(TODAY()-G402&gt;60,"Reprice or move it",IF(TODAY()-G402&gt;30,"Check price","")))</f>
      </c>
    </row>
    <row r="403" spans="1:14" x14ac:dyDescent="0.25">
      <c r="A403" s="10"/>
      <c r="B403" s="10"/>
      <c r="C403" s="10"/>
      <c r="D403" s="11"/>
      <c r="E403" s="12"/>
      <c r="F403" s="10"/>
      <c r="G403" s="11"/>
      <c r="H403" s="12"/>
      <c r="I403" s="10"/>
      <c r="J403" s="12"/>
      <c r="K403" s="11"/>
      <c r="L403" s="13">
        <f>IF(G403="","",IF(I403="Sold",IF(K403="","",K403-G403),TODAY()-G403))</f>
      </c>
      <c r="M403" s="14">
        <f>IF(J403="","",J403-E403)</f>
      </c>
      <c r="N403" s="13">
        <f>IF(OR(G403="",I403&lt;&gt;"Listed"),"",IF(TODAY()-G403&gt;60,"Reprice or move it",IF(TODAY()-G403&gt;30,"Check price","")))</f>
      </c>
    </row>
    <row r="404" spans="1:14" x14ac:dyDescent="0.25">
      <c r="A404" s="10"/>
      <c r="B404" s="10"/>
      <c r="C404" s="10"/>
      <c r="D404" s="11"/>
      <c r="E404" s="12"/>
      <c r="F404" s="10"/>
      <c r="G404" s="11"/>
      <c r="H404" s="12"/>
      <c r="I404" s="10"/>
      <c r="J404" s="12"/>
      <c r="K404" s="11"/>
      <c r="L404" s="13">
        <f>IF(G404="","",IF(I404="Sold",IF(K404="","",K404-G404),TODAY()-G404))</f>
      </c>
      <c r="M404" s="14">
        <f>IF(J404="","",J404-E404)</f>
      </c>
      <c r="N404" s="13">
        <f>IF(OR(G404="",I404&lt;&gt;"Listed"),"",IF(TODAY()-G404&gt;60,"Reprice or move it",IF(TODAY()-G404&gt;30,"Check price","")))</f>
      </c>
    </row>
    <row r="405" spans="1:14" x14ac:dyDescent="0.25">
      <c r="A405" s="10"/>
      <c r="B405" s="10"/>
      <c r="C405" s="10"/>
      <c r="D405" s="11"/>
      <c r="E405" s="12"/>
      <c r="F405" s="10"/>
      <c r="G405" s="11"/>
      <c r="H405" s="12"/>
      <c r="I405" s="10"/>
      <c r="J405" s="12"/>
      <c r="K405" s="11"/>
      <c r="L405" s="13">
        <f>IF(G405="","",IF(I405="Sold",IF(K405="","",K405-G405),TODAY()-G405))</f>
      </c>
      <c r="M405" s="14">
        <f>IF(J405="","",J405-E405)</f>
      </c>
      <c r="N405" s="13">
        <f>IF(OR(G405="",I405&lt;&gt;"Listed"),"",IF(TODAY()-G405&gt;60,"Reprice or move it",IF(TODAY()-G405&gt;30,"Check price","")))</f>
      </c>
    </row>
    <row r="406" spans="1:14" x14ac:dyDescent="0.25">
      <c r="A406" s="10"/>
      <c r="B406" s="10"/>
      <c r="C406" s="10"/>
      <c r="D406" s="11"/>
      <c r="E406" s="12"/>
      <c r="F406" s="10"/>
      <c r="G406" s="11"/>
      <c r="H406" s="12"/>
      <c r="I406" s="10"/>
      <c r="J406" s="12"/>
      <c r="K406" s="11"/>
      <c r="L406" s="13">
        <f>IF(G406="","",IF(I406="Sold",IF(K406="","",K406-G406),TODAY()-G406))</f>
      </c>
      <c r="M406" s="14">
        <f>IF(J406="","",J406-E406)</f>
      </c>
      <c r="N406" s="13">
        <f>IF(OR(G406="",I406&lt;&gt;"Listed"),"",IF(TODAY()-G406&gt;60,"Reprice or move it",IF(TODAY()-G406&gt;30,"Check price","")))</f>
      </c>
    </row>
    <row r="407" spans="1:14" x14ac:dyDescent="0.25">
      <c r="A407" s="10"/>
      <c r="B407" s="10"/>
      <c r="C407" s="10"/>
      <c r="D407" s="11"/>
      <c r="E407" s="12"/>
      <c r="F407" s="10"/>
      <c r="G407" s="11"/>
      <c r="H407" s="12"/>
      <c r="I407" s="10"/>
      <c r="J407" s="12"/>
      <c r="K407" s="11"/>
      <c r="L407" s="13">
        <f>IF(G407="","",IF(I407="Sold",IF(K407="","",K407-G407),TODAY()-G407))</f>
      </c>
      <c r="M407" s="14">
        <f>IF(J407="","",J407-E407)</f>
      </c>
      <c r="N407" s="13">
        <f>IF(OR(G407="",I407&lt;&gt;"Listed"),"",IF(TODAY()-G407&gt;60,"Reprice or move it",IF(TODAY()-G407&gt;30,"Check price","")))</f>
      </c>
    </row>
    <row r="408" spans="1:14" x14ac:dyDescent="0.25">
      <c r="A408" s="10"/>
      <c r="B408" s="10"/>
      <c r="C408" s="10"/>
      <c r="D408" s="11"/>
      <c r="E408" s="12"/>
      <c r="F408" s="10"/>
      <c r="G408" s="11"/>
      <c r="H408" s="12"/>
      <c r="I408" s="10"/>
      <c r="J408" s="12"/>
      <c r="K408" s="11"/>
      <c r="L408" s="13">
        <f>IF(G408="","",IF(I408="Sold",IF(K408="","",K408-G408),TODAY()-G408))</f>
      </c>
      <c r="M408" s="14">
        <f>IF(J408="","",J408-E408)</f>
      </c>
      <c r="N408" s="13">
        <f>IF(OR(G408="",I408&lt;&gt;"Listed"),"",IF(TODAY()-G408&gt;60,"Reprice or move it",IF(TODAY()-G408&gt;30,"Check price","")))</f>
      </c>
    </row>
    <row r="409" spans="1:14" x14ac:dyDescent="0.25">
      <c r="A409" s="10"/>
      <c r="B409" s="10"/>
      <c r="C409" s="10"/>
      <c r="D409" s="11"/>
      <c r="E409" s="12"/>
      <c r="F409" s="10"/>
      <c r="G409" s="11"/>
      <c r="H409" s="12"/>
      <c r="I409" s="10"/>
      <c r="J409" s="12"/>
      <c r="K409" s="11"/>
      <c r="L409" s="13">
        <f>IF(G409="","",IF(I409="Sold",IF(K409="","",K409-G409),TODAY()-G409))</f>
      </c>
      <c r="M409" s="14">
        <f>IF(J409="","",J409-E409)</f>
      </c>
      <c r="N409" s="13">
        <f>IF(OR(G409="",I409&lt;&gt;"Listed"),"",IF(TODAY()-G409&gt;60,"Reprice or move it",IF(TODAY()-G409&gt;30,"Check price","")))</f>
      </c>
    </row>
    <row r="410" spans="1:14" x14ac:dyDescent="0.25">
      <c r="A410" s="10"/>
      <c r="B410" s="10"/>
      <c r="C410" s="10"/>
      <c r="D410" s="11"/>
      <c r="E410" s="12"/>
      <c r="F410" s="10"/>
      <c r="G410" s="11"/>
      <c r="H410" s="12"/>
      <c r="I410" s="10"/>
      <c r="J410" s="12"/>
      <c r="K410" s="11"/>
      <c r="L410" s="13">
        <f>IF(G410="","",IF(I410="Sold",IF(K410="","",K410-G410),TODAY()-G410))</f>
      </c>
      <c r="M410" s="14">
        <f>IF(J410="","",J410-E410)</f>
      </c>
      <c r="N410" s="13">
        <f>IF(OR(G410="",I410&lt;&gt;"Listed"),"",IF(TODAY()-G410&gt;60,"Reprice or move it",IF(TODAY()-G410&gt;30,"Check price","")))</f>
      </c>
    </row>
    <row r="411" spans="1:14" x14ac:dyDescent="0.25">
      <c r="A411" s="10"/>
      <c r="B411" s="10"/>
      <c r="C411" s="10"/>
      <c r="D411" s="11"/>
      <c r="E411" s="12"/>
      <c r="F411" s="10"/>
      <c r="G411" s="11"/>
      <c r="H411" s="12"/>
      <c r="I411" s="10"/>
      <c r="J411" s="12"/>
      <c r="K411" s="11"/>
      <c r="L411" s="13">
        <f>IF(G411="","",IF(I411="Sold",IF(K411="","",K411-G411),TODAY()-G411))</f>
      </c>
      <c r="M411" s="14">
        <f>IF(J411="","",J411-E411)</f>
      </c>
      <c r="N411" s="13">
        <f>IF(OR(G411="",I411&lt;&gt;"Listed"),"",IF(TODAY()-G411&gt;60,"Reprice or move it",IF(TODAY()-G411&gt;30,"Check price","")))</f>
      </c>
    </row>
    <row r="412" spans="1:14" x14ac:dyDescent="0.25">
      <c r="A412" s="10"/>
      <c r="B412" s="10"/>
      <c r="C412" s="10"/>
      <c r="D412" s="11"/>
      <c r="E412" s="12"/>
      <c r="F412" s="10"/>
      <c r="G412" s="11"/>
      <c r="H412" s="12"/>
      <c r="I412" s="10"/>
      <c r="J412" s="12"/>
      <c r="K412" s="11"/>
      <c r="L412" s="13">
        <f>IF(G412="","",IF(I412="Sold",IF(K412="","",K412-G412),TODAY()-G412))</f>
      </c>
      <c r="M412" s="14">
        <f>IF(J412="","",J412-E412)</f>
      </c>
      <c r="N412" s="13">
        <f>IF(OR(G412="",I412&lt;&gt;"Listed"),"",IF(TODAY()-G412&gt;60,"Reprice or move it",IF(TODAY()-G412&gt;30,"Check price","")))</f>
      </c>
    </row>
    <row r="413" spans="1:14" x14ac:dyDescent="0.25">
      <c r="A413" s="10"/>
      <c r="B413" s="10"/>
      <c r="C413" s="10"/>
      <c r="D413" s="11"/>
      <c r="E413" s="12"/>
      <c r="F413" s="10"/>
      <c r="G413" s="11"/>
      <c r="H413" s="12"/>
      <c r="I413" s="10"/>
      <c r="J413" s="12"/>
      <c r="K413" s="11"/>
      <c r="L413" s="13">
        <f>IF(G413="","",IF(I413="Sold",IF(K413="","",K413-G413),TODAY()-G413))</f>
      </c>
      <c r="M413" s="14">
        <f>IF(J413="","",J413-E413)</f>
      </c>
      <c r="N413" s="13">
        <f>IF(OR(G413="",I413&lt;&gt;"Listed"),"",IF(TODAY()-G413&gt;60,"Reprice or move it",IF(TODAY()-G413&gt;30,"Check price","")))</f>
      </c>
    </row>
    <row r="414" spans="1:14" x14ac:dyDescent="0.25">
      <c r="A414" s="10"/>
      <c r="B414" s="10"/>
      <c r="C414" s="10"/>
      <c r="D414" s="11"/>
      <c r="E414" s="12"/>
      <c r="F414" s="10"/>
      <c r="G414" s="11"/>
      <c r="H414" s="12"/>
      <c r="I414" s="10"/>
      <c r="J414" s="12"/>
      <c r="K414" s="11"/>
      <c r="L414" s="13">
        <f>IF(G414="","",IF(I414="Sold",IF(K414="","",K414-G414),TODAY()-G414))</f>
      </c>
      <c r="M414" s="14">
        <f>IF(J414="","",J414-E414)</f>
      </c>
      <c r="N414" s="13">
        <f>IF(OR(G414="",I414&lt;&gt;"Listed"),"",IF(TODAY()-G414&gt;60,"Reprice or move it",IF(TODAY()-G414&gt;30,"Check price","")))</f>
      </c>
    </row>
    <row r="415" spans="1:14" x14ac:dyDescent="0.25">
      <c r="A415" s="10"/>
      <c r="B415" s="10"/>
      <c r="C415" s="10"/>
      <c r="D415" s="11"/>
      <c r="E415" s="12"/>
      <c r="F415" s="10"/>
      <c r="G415" s="11"/>
      <c r="H415" s="12"/>
      <c r="I415" s="10"/>
      <c r="J415" s="12"/>
      <c r="K415" s="11"/>
      <c r="L415" s="13">
        <f>IF(G415="","",IF(I415="Sold",IF(K415="","",K415-G415),TODAY()-G415))</f>
      </c>
      <c r="M415" s="14">
        <f>IF(J415="","",J415-E415)</f>
      </c>
      <c r="N415" s="13">
        <f>IF(OR(G415="",I415&lt;&gt;"Listed"),"",IF(TODAY()-G415&gt;60,"Reprice or move it",IF(TODAY()-G415&gt;30,"Check price","")))</f>
      </c>
    </row>
    <row r="416" spans="1:14" x14ac:dyDescent="0.25">
      <c r="A416" s="10"/>
      <c r="B416" s="10"/>
      <c r="C416" s="10"/>
      <c r="D416" s="11"/>
      <c r="E416" s="12"/>
      <c r="F416" s="10"/>
      <c r="G416" s="11"/>
      <c r="H416" s="12"/>
      <c r="I416" s="10"/>
      <c r="J416" s="12"/>
      <c r="K416" s="11"/>
      <c r="L416" s="13">
        <f>IF(G416="","",IF(I416="Sold",IF(K416="","",K416-G416),TODAY()-G416))</f>
      </c>
      <c r="M416" s="14">
        <f>IF(J416="","",J416-E416)</f>
      </c>
      <c r="N416" s="13">
        <f>IF(OR(G416="",I416&lt;&gt;"Listed"),"",IF(TODAY()-G416&gt;60,"Reprice or move it",IF(TODAY()-G416&gt;30,"Check price","")))</f>
      </c>
    </row>
    <row r="417" spans="1:14" x14ac:dyDescent="0.25">
      <c r="A417" s="10"/>
      <c r="B417" s="10"/>
      <c r="C417" s="10"/>
      <c r="D417" s="11"/>
      <c r="E417" s="12"/>
      <c r="F417" s="10"/>
      <c r="G417" s="11"/>
      <c r="H417" s="12"/>
      <c r="I417" s="10"/>
      <c r="J417" s="12"/>
      <c r="K417" s="11"/>
      <c r="L417" s="13">
        <f>IF(G417="","",IF(I417="Sold",IF(K417="","",K417-G417),TODAY()-G417))</f>
      </c>
      <c r="M417" s="14">
        <f>IF(J417="","",J417-E417)</f>
      </c>
      <c r="N417" s="13">
        <f>IF(OR(G417="",I417&lt;&gt;"Listed"),"",IF(TODAY()-G417&gt;60,"Reprice or move it",IF(TODAY()-G417&gt;30,"Check price","")))</f>
      </c>
    </row>
    <row r="418" spans="1:14" x14ac:dyDescent="0.25">
      <c r="A418" s="10"/>
      <c r="B418" s="10"/>
      <c r="C418" s="10"/>
      <c r="D418" s="11"/>
      <c r="E418" s="12"/>
      <c r="F418" s="10"/>
      <c r="G418" s="11"/>
      <c r="H418" s="12"/>
      <c r="I418" s="10"/>
      <c r="J418" s="12"/>
      <c r="K418" s="11"/>
      <c r="L418" s="13">
        <f>IF(G418="","",IF(I418="Sold",IF(K418="","",K418-G418),TODAY()-G418))</f>
      </c>
      <c r="M418" s="14">
        <f>IF(J418="","",J418-E418)</f>
      </c>
      <c r="N418" s="13">
        <f>IF(OR(G418="",I418&lt;&gt;"Listed"),"",IF(TODAY()-G418&gt;60,"Reprice or move it",IF(TODAY()-G418&gt;30,"Check price","")))</f>
      </c>
    </row>
    <row r="419" spans="1:14" x14ac:dyDescent="0.25">
      <c r="A419" s="10"/>
      <c r="B419" s="10"/>
      <c r="C419" s="10"/>
      <c r="D419" s="11"/>
      <c r="E419" s="12"/>
      <c r="F419" s="10"/>
      <c r="G419" s="11"/>
      <c r="H419" s="12"/>
      <c r="I419" s="10"/>
      <c r="J419" s="12"/>
      <c r="K419" s="11"/>
      <c r="L419" s="13">
        <f>IF(G419="","",IF(I419="Sold",IF(K419="","",K419-G419),TODAY()-G419))</f>
      </c>
      <c r="M419" s="14">
        <f>IF(J419="","",J419-E419)</f>
      </c>
      <c r="N419" s="13">
        <f>IF(OR(G419="",I419&lt;&gt;"Listed"),"",IF(TODAY()-G419&gt;60,"Reprice or move it",IF(TODAY()-G419&gt;30,"Check price","")))</f>
      </c>
    </row>
    <row r="420" spans="1:14" x14ac:dyDescent="0.25">
      <c r="A420" s="10"/>
      <c r="B420" s="10"/>
      <c r="C420" s="10"/>
      <c r="D420" s="11"/>
      <c r="E420" s="12"/>
      <c r="F420" s="10"/>
      <c r="G420" s="11"/>
      <c r="H420" s="12"/>
      <c r="I420" s="10"/>
      <c r="J420" s="12"/>
      <c r="K420" s="11"/>
      <c r="L420" s="13">
        <f>IF(G420="","",IF(I420="Sold",IF(K420="","",K420-G420),TODAY()-G420))</f>
      </c>
      <c r="M420" s="14">
        <f>IF(J420="","",J420-E420)</f>
      </c>
      <c r="N420" s="13">
        <f>IF(OR(G420="",I420&lt;&gt;"Listed"),"",IF(TODAY()-G420&gt;60,"Reprice or move it",IF(TODAY()-G420&gt;30,"Check price","")))</f>
      </c>
    </row>
    <row r="421" spans="1:14" x14ac:dyDescent="0.25">
      <c r="A421" s="10"/>
      <c r="B421" s="10"/>
      <c r="C421" s="10"/>
      <c r="D421" s="11"/>
      <c r="E421" s="12"/>
      <c r="F421" s="10"/>
      <c r="G421" s="11"/>
      <c r="H421" s="12"/>
      <c r="I421" s="10"/>
      <c r="J421" s="12"/>
      <c r="K421" s="11"/>
      <c r="L421" s="13">
        <f>IF(G421="","",IF(I421="Sold",IF(K421="","",K421-G421),TODAY()-G421))</f>
      </c>
      <c r="M421" s="14">
        <f>IF(J421="","",J421-E421)</f>
      </c>
      <c r="N421" s="13">
        <f>IF(OR(G421="",I421&lt;&gt;"Listed"),"",IF(TODAY()-G421&gt;60,"Reprice or move it",IF(TODAY()-G421&gt;30,"Check price","")))</f>
      </c>
    </row>
    <row r="422" spans="1:14" x14ac:dyDescent="0.25">
      <c r="A422" s="10"/>
      <c r="B422" s="10"/>
      <c r="C422" s="10"/>
      <c r="D422" s="11"/>
      <c r="E422" s="12"/>
      <c r="F422" s="10"/>
      <c r="G422" s="11"/>
      <c r="H422" s="12"/>
      <c r="I422" s="10"/>
      <c r="J422" s="12"/>
      <c r="K422" s="11"/>
      <c r="L422" s="13">
        <f>IF(G422="","",IF(I422="Sold",IF(K422="","",K422-G422),TODAY()-G422))</f>
      </c>
      <c r="M422" s="14">
        <f>IF(J422="","",J422-E422)</f>
      </c>
      <c r="N422" s="13">
        <f>IF(OR(G422="",I422&lt;&gt;"Listed"),"",IF(TODAY()-G422&gt;60,"Reprice or move it",IF(TODAY()-G422&gt;30,"Check price","")))</f>
      </c>
    </row>
    <row r="423" spans="1:14" x14ac:dyDescent="0.25">
      <c r="A423" s="10"/>
      <c r="B423" s="10"/>
      <c r="C423" s="10"/>
      <c r="D423" s="11"/>
      <c r="E423" s="12"/>
      <c r="F423" s="10"/>
      <c r="G423" s="11"/>
      <c r="H423" s="12"/>
      <c r="I423" s="10"/>
      <c r="J423" s="12"/>
      <c r="K423" s="11"/>
      <c r="L423" s="13">
        <f>IF(G423="","",IF(I423="Sold",IF(K423="","",K423-G423),TODAY()-G423))</f>
      </c>
      <c r="M423" s="14">
        <f>IF(J423="","",J423-E423)</f>
      </c>
      <c r="N423" s="13">
        <f>IF(OR(G423="",I423&lt;&gt;"Listed"),"",IF(TODAY()-G423&gt;60,"Reprice or move it",IF(TODAY()-G423&gt;30,"Check price","")))</f>
      </c>
    </row>
    <row r="424" spans="1:14" x14ac:dyDescent="0.25">
      <c r="A424" s="10"/>
      <c r="B424" s="10"/>
      <c r="C424" s="10"/>
      <c r="D424" s="11"/>
      <c r="E424" s="12"/>
      <c r="F424" s="10"/>
      <c r="G424" s="11"/>
      <c r="H424" s="12"/>
      <c r="I424" s="10"/>
      <c r="J424" s="12"/>
      <c r="K424" s="11"/>
      <c r="L424" s="13">
        <f>IF(G424="","",IF(I424="Sold",IF(K424="","",K424-G424),TODAY()-G424))</f>
      </c>
      <c r="M424" s="14">
        <f>IF(J424="","",J424-E424)</f>
      </c>
      <c r="N424" s="13">
        <f>IF(OR(G424="",I424&lt;&gt;"Listed"),"",IF(TODAY()-G424&gt;60,"Reprice or move it",IF(TODAY()-G424&gt;30,"Check price","")))</f>
      </c>
    </row>
    <row r="425" spans="1:14" x14ac:dyDescent="0.25">
      <c r="A425" s="10"/>
      <c r="B425" s="10"/>
      <c r="C425" s="10"/>
      <c r="D425" s="11"/>
      <c r="E425" s="12"/>
      <c r="F425" s="10"/>
      <c r="G425" s="11"/>
      <c r="H425" s="12"/>
      <c r="I425" s="10"/>
      <c r="J425" s="12"/>
      <c r="K425" s="11"/>
      <c r="L425" s="13">
        <f>IF(G425="","",IF(I425="Sold",IF(K425="","",K425-G425),TODAY()-G425))</f>
      </c>
      <c r="M425" s="14">
        <f>IF(J425="","",J425-E425)</f>
      </c>
      <c r="N425" s="13">
        <f>IF(OR(G425="",I425&lt;&gt;"Listed"),"",IF(TODAY()-G425&gt;60,"Reprice or move it",IF(TODAY()-G425&gt;30,"Check price","")))</f>
      </c>
    </row>
    <row r="426" spans="1:14" x14ac:dyDescent="0.25">
      <c r="A426" s="10"/>
      <c r="B426" s="10"/>
      <c r="C426" s="10"/>
      <c r="D426" s="11"/>
      <c r="E426" s="12"/>
      <c r="F426" s="10"/>
      <c r="G426" s="11"/>
      <c r="H426" s="12"/>
      <c r="I426" s="10"/>
      <c r="J426" s="12"/>
      <c r="K426" s="11"/>
      <c r="L426" s="13">
        <f>IF(G426="","",IF(I426="Sold",IF(K426="","",K426-G426),TODAY()-G426))</f>
      </c>
      <c r="M426" s="14">
        <f>IF(J426="","",J426-E426)</f>
      </c>
      <c r="N426" s="13">
        <f>IF(OR(G426="",I426&lt;&gt;"Listed"),"",IF(TODAY()-G426&gt;60,"Reprice or move it",IF(TODAY()-G426&gt;30,"Check price","")))</f>
      </c>
    </row>
    <row r="427" spans="1:14" x14ac:dyDescent="0.25">
      <c r="A427" s="10"/>
      <c r="B427" s="10"/>
      <c r="C427" s="10"/>
      <c r="D427" s="11"/>
      <c r="E427" s="12"/>
      <c r="F427" s="10"/>
      <c r="G427" s="11"/>
      <c r="H427" s="12"/>
      <c r="I427" s="10"/>
      <c r="J427" s="12"/>
      <c r="K427" s="11"/>
      <c r="L427" s="13">
        <f>IF(G427="","",IF(I427="Sold",IF(K427="","",K427-G427),TODAY()-G427))</f>
      </c>
      <c r="M427" s="14">
        <f>IF(J427="","",J427-E427)</f>
      </c>
      <c r="N427" s="13">
        <f>IF(OR(G427="",I427&lt;&gt;"Listed"),"",IF(TODAY()-G427&gt;60,"Reprice or move it",IF(TODAY()-G427&gt;30,"Check price","")))</f>
      </c>
    </row>
    <row r="428" spans="1:14" x14ac:dyDescent="0.25">
      <c r="A428" s="10"/>
      <c r="B428" s="10"/>
      <c r="C428" s="10"/>
      <c r="D428" s="11"/>
      <c r="E428" s="12"/>
      <c r="F428" s="10"/>
      <c r="G428" s="11"/>
      <c r="H428" s="12"/>
      <c r="I428" s="10"/>
      <c r="J428" s="12"/>
      <c r="K428" s="11"/>
      <c r="L428" s="13">
        <f>IF(G428="","",IF(I428="Sold",IF(K428="","",K428-G428),TODAY()-G428))</f>
      </c>
      <c r="M428" s="14">
        <f>IF(J428="","",J428-E428)</f>
      </c>
      <c r="N428" s="13">
        <f>IF(OR(G428="",I428&lt;&gt;"Listed"),"",IF(TODAY()-G428&gt;60,"Reprice or move it",IF(TODAY()-G428&gt;30,"Check price","")))</f>
      </c>
    </row>
    <row r="429" spans="1:14" x14ac:dyDescent="0.25">
      <c r="A429" s="10"/>
      <c r="B429" s="10"/>
      <c r="C429" s="10"/>
      <c r="D429" s="11"/>
      <c r="E429" s="12"/>
      <c r="F429" s="10"/>
      <c r="G429" s="11"/>
      <c r="H429" s="12"/>
      <c r="I429" s="10"/>
      <c r="J429" s="12"/>
      <c r="K429" s="11"/>
      <c r="L429" s="13">
        <f>IF(G429="","",IF(I429="Sold",IF(K429="","",K429-G429),TODAY()-G429))</f>
      </c>
      <c r="M429" s="14">
        <f>IF(J429="","",J429-E429)</f>
      </c>
      <c r="N429" s="13">
        <f>IF(OR(G429="",I429&lt;&gt;"Listed"),"",IF(TODAY()-G429&gt;60,"Reprice or move it",IF(TODAY()-G429&gt;30,"Check price","")))</f>
      </c>
    </row>
    <row r="430" spans="1:14" x14ac:dyDescent="0.25">
      <c r="A430" s="10"/>
      <c r="B430" s="10"/>
      <c r="C430" s="10"/>
      <c r="D430" s="11"/>
      <c r="E430" s="12"/>
      <c r="F430" s="10"/>
      <c r="G430" s="11"/>
      <c r="H430" s="12"/>
      <c r="I430" s="10"/>
      <c r="J430" s="12"/>
      <c r="K430" s="11"/>
      <c r="L430" s="13">
        <f>IF(G430="","",IF(I430="Sold",IF(K430="","",K430-G430),TODAY()-G430))</f>
      </c>
      <c r="M430" s="14">
        <f>IF(J430="","",J430-E430)</f>
      </c>
      <c r="N430" s="13">
        <f>IF(OR(G430="",I430&lt;&gt;"Listed"),"",IF(TODAY()-G430&gt;60,"Reprice or move it",IF(TODAY()-G430&gt;30,"Check price","")))</f>
      </c>
    </row>
    <row r="431" spans="1:14" x14ac:dyDescent="0.25">
      <c r="A431" s="10"/>
      <c r="B431" s="10"/>
      <c r="C431" s="10"/>
      <c r="D431" s="11"/>
      <c r="E431" s="12"/>
      <c r="F431" s="10"/>
      <c r="G431" s="11"/>
      <c r="H431" s="12"/>
      <c r="I431" s="10"/>
      <c r="J431" s="12"/>
      <c r="K431" s="11"/>
      <c r="L431" s="13">
        <f>IF(G431="","",IF(I431="Sold",IF(K431="","",K431-G431),TODAY()-G431))</f>
      </c>
      <c r="M431" s="14">
        <f>IF(J431="","",J431-E431)</f>
      </c>
      <c r="N431" s="13">
        <f>IF(OR(G431="",I431&lt;&gt;"Listed"),"",IF(TODAY()-G431&gt;60,"Reprice or move it",IF(TODAY()-G431&gt;30,"Check price","")))</f>
      </c>
    </row>
    <row r="432" spans="1:14" x14ac:dyDescent="0.25">
      <c r="A432" s="10"/>
      <c r="B432" s="10"/>
      <c r="C432" s="10"/>
      <c r="D432" s="11"/>
      <c r="E432" s="12"/>
      <c r="F432" s="10"/>
      <c r="G432" s="11"/>
      <c r="H432" s="12"/>
      <c r="I432" s="10"/>
      <c r="J432" s="12"/>
      <c r="K432" s="11"/>
      <c r="L432" s="13">
        <f>IF(G432="","",IF(I432="Sold",IF(K432="","",K432-G432),TODAY()-G432))</f>
      </c>
      <c r="M432" s="14">
        <f>IF(J432="","",J432-E432)</f>
      </c>
      <c r="N432" s="13">
        <f>IF(OR(G432="",I432&lt;&gt;"Listed"),"",IF(TODAY()-G432&gt;60,"Reprice or move it",IF(TODAY()-G432&gt;30,"Check price","")))</f>
      </c>
    </row>
    <row r="433" spans="1:14" x14ac:dyDescent="0.25">
      <c r="A433" s="10"/>
      <c r="B433" s="10"/>
      <c r="C433" s="10"/>
      <c r="D433" s="11"/>
      <c r="E433" s="12"/>
      <c r="F433" s="10"/>
      <c r="G433" s="11"/>
      <c r="H433" s="12"/>
      <c r="I433" s="10"/>
      <c r="J433" s="12"/>
      <c r="K433" s="11"/>
      <c r="L433" s="13">
        <f>IF(G433="","",IF(I433="Sold",IF(K433="","",K433-G433),TODAY()-G433))</f>
      </c>
      <c r="M433" s="14">
        <f>IF(J433="","",J433-E433)</f>
      </c>
      <c r="N433" s="13">
        <f>IF(OR(G433="",I433&lt;&gt;"Listed"),"",IF(TODAY()-G433&gt;60,"Reprice or move it",IF(TODAY()-G433&gt;30,"Check price","")))</f>
      </c>
    </row>
    <row r="434" spans="1:14" x14ac:dyDescent="0.25">
      <c r="A434" s="10"/>
      <c r="B434" s="10"/>
      <c r="C434" s="10"/>
      <c r="D434" s="11"/>
      <c r="E434" s="12"/>
      <c r="F434" s="10"/>
      <c r="G434" s="11"/>
      <c r="H434" s="12"/>
      <c r="I434" s="10"/>
      <c r="J434" s="12"/>
      <c r="K434" s="11"/>
      <c r="L434" s="13">
        <f>IF(G434="","",IF(I434="Sold",IF(K434="","",K434-G434),TODAY()-G434))</f>
      </c>
      <c r="M434" s="14">
        <f>IF(J434="","",J434-E434)</f>
      </c>
      <c r="N434" s="13">
        <f>IF(OR(G434="",I434&lt;&gt;"Listed"),"",IF(TODAY()-G434&gt;60,"Reprice or move it",IF(TODAY()-G434&gt;30,"Check price","")))</f>
      </c>
    </row>
    <row r="435" spans="1:14" x14ac:dyDescent="0.25">
      <c r="A435" s="10"/>
      <c r="B435" s="10"/>
      <c r="C435" s="10"/>
      <c r="D435" s="11"/>
      <c r="E435" s="12"/>
      <c r="F435" s="10"/>
      <c r="G435" s="11"/>
      <c r="H435" s="12"/>
      <c r="I435" s="10"/>
      <c r="J435" s="12"/>
      <c r="K435" s="11"/>
      <c r="L435" s="13">
        <f>IF(G435="","",IF(I435="Sold",IF(K435="","",K435-G435),TODAY()-G435))</f>
      </c>
      <c r="M435" s="14">
        <f>IF(J435="","",J435-E435)</f>
      </c>
      <c r="N435" s="13">
        <f>IF(OR(G435="",I435&lt;&gt;"Listed"),"",IF(TODAY()-G435&gt;60,"Reprice or move it",IF(TODAY()-G435&gt;30,"Check price","")))</f>
      </c>
    </row>
    <row r="436" spans="1:14" x14ac:dyDescent="0.25">
      <c r="A436" s="10"/>
      <c r="B436" s="10"/>
      <c r="C436" s="10"/>
      <c r="D436" s="11"/>
      <c r="E436" s="12"/>
      <c r="F436" s="10"/>
      <c r="G436" s="11"/>
      <c r="H436" s="12"/>
      <c r="I436" s="10"/>
      <c r="J436" s="12"/>
      <c r="K436" s="11"/>
      <c r="L436" s="13">
        <f>IF(G436="","",IF(I436="Sold",IF(K436="","",K436-G436),TODAY()-G436))</f>
      </c>
      <c r="M436" s="14">
        <f>IF(J436="","",J436-E436)</f>
      </c>
      <c r="N436" s="13">
        <f>IF(OR(G436="",I436&lt;&gt;"Listed"),"",IF(TODAY()-G436&gt;60,"Reprice or move it",IF(TODAY()-G436&gt;30,"Check price","")))</f>
      </c>
    </row>
    <row r="437" spans="1:14" x14ac:dyDescent="0.25">
      <c r="A437" s="10"/>
      <c r="B437" s="10"/>
      <c r="C437" s="10"/>
      <c r="D437" s="11"/>
      <c r="E437" s="12"/>
      <c r="F437" s="10"/>
      <c r="G437" s="11"/>
      <c r="H437" s="12"/>
      <c r="I437" s="10"/>
      <c r="J437" s="12"/>
      <c r="K437" s="11"/>
      <c r="L437" s="13">
        <f>IF(G437="","",IF(I437="Sold",IF(K437="","",K437-G437),TODAY()-G437))</f>
      </c>
      <c r="M437" s="14">
        <f>IF(J437="","",J437-E437)</f>
      </c>
      <c r="N437" s="13">
        <f>IF(OR(G437="",I437&lt;&gt;"Listed"),"",IF(TODAY()-G437&gt;60,"Reprice or move it",IF(TODAY()-G437&gt;30,"Check price","")))</f>
      </c>
    </row>
    <row r="438" spans="1:14" x14ac:dyDescent="0.25">
      <c r="A438" s="10"/>
      <c r="B438" s="10"/>
      <c r="C438" s="10"/>
      <c r="D438" s="11"/>
      <c r="E438" s="12"/>
      <c r="F438" s="10"/>
      <c r="G438" s="11"/>
      <c r="H438" s="12"/>
      <c r="I438" s="10"/>
      <c r="J438" s="12"/>
      <c r="K438" s="11"/>
      <c r="L438" s="13">
        <f>IF(G438="","",IF(I438="Sold",IF(K438="","",K438-G438),TODAY()-G438))</f>
      </c>
      <c r="M438" s="14">
        <f>IF(J438="","",J438-E438)</f>
      </c>
      <c r="N438" s="13">
        <f>IF(OR(G438="",I438&lt;&gt;"Listed"),"",IF(TODAY()-G438&gt;60,"Reprice or move it",IF(TODAY()-G438&gt;30,"Check price","")))</f>
      </c>
    </row>
    <row r="439" spans="1:14" x14ac:dyDescent="0.25">
      <c r="A439" s="10"/>
      <c r="B439" s="10"/>
      <c r="C439" s="10"/>
      <c r="D439" s="11"/>
      <c r="E439" s="12"/>
      <c r="F439" s="10"/>
      <c r="G439" s="11"/>
      <c r="H439" s="12"/>
      <c r="I439" s="10"/>
      <c r="J439" s="12"/>
      <c r="K439" s="11"/>
      <c r="L439" s="13">
        <f>IF(G439="","",IF(I439="Sold",IF(K439="","",K439-G439),TODAY()-G439))</f>
      </c>
      <c r="M439" s="14">
        <f>IF(J439="","",J439-E439)</f>
      </c>
      <c r="N439" s="13">
        <f>IF(OR(G439="",I439&lt;&gt;"Listed"),"",IF(TODAY()-G439&gt;60,"Reprice or move it",IF(TODAY()-G439&gt;30,"Check price","")))</f>
      </c>
    </row>
    <row r="440" spans="1:14" x14ac:dyDescent="0.25">
      <c r="A440" s="10"/>
      <c r="B440" s="10"/>
      <c r="C440" s="10"/>
      <c r="D440" s="11"/>
      <c r="E440" s="12"/>
      <c r="F440" s="10"/>
      <c r="G440" s="11"/>
      <c r="H440" s="12"/>
      <c r="I440" s="10"/>
      <c r="J440" s="12"/>
      <c r="K440" s="11"/>
      <c r="L440" s="13">
        <f>IF(G440="","",IF(I440="Sold",IF(K440="","",K440-G440),TODAY()-G440))</f>
      </c>
      <c r="M440" s="14">
        <f>IF(J440="","",J440-E440)</f>
      </c>
      <c r="N440" s="13">
        <f>IF(OR(G440="",I440&lt;&gt;"Listed"),"",IF(TODAY()-G440&gt;60,"Reprice or move it",IF(TODAY()-G440&gt;30,"Check price","")))</f>
      </c>
    </row>
    <row r="441" spans="1:14" x14ac:dyDescent="0.25">
      <c r="A441" s="10"/>
      <c r="B441" s="10"/>
      <c r="C441" s="10"/>
      <c r="D441" s="11"/>
      <c r="E441" s="12"/>
      <c r="F441" s="10"/>
      <c r="G441" s="11"/>
      <c r="H441" s="12"/>
      <c r="I441" s="10"/>
      <c r="J441" s="12"/>
      <c r="K441" s="11"/>
      <c r="L441" s="13">
        <f>IF(G441="","",IF(I441="Sold",IF(K441="","",K441-G441),TODAY()-G441))</f>
      </c>
      <c r="M441" s="14">
        <f>IF(J441="","",J441-E441)</f>
      </c>
      <c r="N441" s="13">
        <f>IF(OR(G441="",I441&lt;&gt;"Listed"),"",IF(TODAY()-G441&gt;60,"Reprice or move it",IF(TODAY()-G441&gt;30,"Check price","")))</f>
      </c>
    </row>
    <row r="442" spans="1:14" x14ac:dyDescent="0.25">
      <c r="A442" s="10"/>
      <c r="B442" s="10"/>
      <c r="C442" s="10"/>
      <c r="D442" s="11"/>
      <c r="E442" s="12"/>
      <c r="F442" s="10"/>
      <c r="G442" s="11"/>
      <c r="H442" s="12"/>
      <c r="I442" s="10"/>
      <c r="J442" s="12"/>
      <c r="K442" s="11"/>
      <c r="L442" s="13">
        <f>IF(G442="","",IF(I442="Sold",IF(K442="","",K442-G442),TODAY()-G442))</f>
      </c>
      <c r="M442" s="14">
        <f>IF(J442="","",J442-E442)</f>
      </c>
      <c r="N442" s="13">
        <f>IF(OR(G442="",I442&lt;&gt;"Listed"),"",IF(TODAY()-G442&gt;60,"Reprice or move it",IF(TODAY()-G442&gt;30,"Check price","")))</f>
      </c>
    </row>
    <row r="443" spans="1:14" x14ac:dyDescent="0.25">
      <c r="A443" s="10"/>
      <c r="B443" s="10"/>
      <c r="C443" s="10"/>
      <c r="D443" s="11"/>
      <c r="E443" s="12"/>
      <c r="F443" s="10"/>
      <c r="G443" s="11"/>
      <c r="H443" s="12"/>
      <c r="I443" s="10"/>
      <c r="J443" s="12"/>
      <c r="K443" s="11"/>
      <c r="L443" s="13">
        <f>IF(G443="","",IF(I443="Sold",IF(K443="","",K443-G443),TODAY()-G443))</f>
      </c>
      <c r="M443" s="14">
        <f>IF(J443="","",J443-E443)</f>
      </c>
      <c r="N443" s="13">
        <f>IF(OR(G443="",I443&lt;&gt;"Listed"),"",IF(TODAY()-G443&gt;60,"Reprice or move it",IF(TODAY()-G443&gt;30,"Check price","")))</f>
      </c>
    </row>
    <row r="444" spans="1:14" x14ac:dyDescent="0.25">
      <c r="A444" s="10"/>
      <c r="B444" s="10"/>
      <c r="C444" s="10"/>
      <c r="D444" s="11"/>
      <c r="E444" s="12"/>
      <c r="F444" s="10"/>
      <c r="G444" s="11"/>
      <c r="H444" s="12"/>
      <c r="I444" s="10"/>
      <c r="J444" s="12"/>
      <c r="K444" s="11"/>
      <c r="L444" s="13">
        <f>IF(G444="","",IF(I444="Sold",IF(K444="","",K444-G444),TODAY()-G444))</f>
      </c>
      <c r="M444" s="14">
        <f>IF(J444="","",J444-E444)</f>
      </c>
      <c r="N444" s="13">
        <f>IF(OR(G444="",I444&lt;&gt;"Listed"),"",IF(TODAY()-G444&gt;60,"Reprice or move it",IF(TODAY()-G444&gt;30,"Check price","")))</f>
      </c>
    </row>
    <row r="445" spans="1:14" x14ac:dyDescent="0.25">
      <c r="A445" s="10"/>
      <c r="B445" s="10"/>
      <c r="C445" s="10"/>
      <c r="D445" s="11"/>
      <c r="E445" s="12"/>
      <c r="F445" s="10"/>
      <c r="G445" s="11"/>
      <c r="H445" s="12"/>
      <c r="I445" s="10"/>
      <c r="J445" s="12"/>
      <c r="K445" s="11"/>
      <c r="L445" s="13">
        <f>IF(G445="","",IF(I445="Sold",IF(K445="","",K445-G445),TODAY()-G445))</f>
      </c>
      <c r="M445" s="14">
        <f>IF(J445="","",J445-E445)</f>
      </c>
      <c r="N445" s="13">
        <f>IF(OR(G445="",I445&lt;&gt;"Listed"),"",IF(TODAY()-G445&gt;60,"Reprice or move it",IF(TODAY()-G445&gt;30,"Check price","")))</f>
      </c>
    </row>
    <row r="446" spans="1:14" x14ac:dyDescent="0.25">
      <c r="A446" s="10"/>
      <c r="B446" s="10"/>
      <c r="C446" s="10"/>
      <c r="D446" s="11"/>
      <c r="E446" s="12"/>
      <c r="F446" s="10"/>
      <c r="G446" s="11"/>
      <c r="H446" s="12"/>
      <c r="I446" s="10"/>
      <c r="J446" s="12"/>
      <c r="K446" s="11"/>
      <c r="L446" s="13">
        <f>IF(G446="","",IF(I446="Sold",IF(K446="","",K446-G446),TODAY()-G446))</f>
      </c>
      <c r="M446" s="14">
        <f>IF(J446="","",J446-E446)</f>
      </c>
      <c r="N446" s="13">
        <f>IF(OR(G446="",I446&lt;&gt;"Listed"),"",IF(TODAY()-G446&gt;60,"Reprice or move it",IF(TODAY()-G446&gt;30,"Check price","")))</f>
      </c>
    </row>
    <row r="447" spans="1:14" x14ac:dyDescent="0.25">
      <c r="A447" s="10"/>
      <c r="B447" s="10"/>
      <c r="C447" s="10"/>
      <c r="D447" s="11"/>
      <c r="E447" s="12"/>
      <c r="F447" s="10"/>
      <c r="G447" s="11"/>
      <c r="H447" s="12"/>
      <c r="I447" s="10"/>
      <c r="J447" s="12"/>
      <c r="K447" s="11"/>
      <c r="L447" s="13">
        <f>IF(G447="","",IF(I447="Sold",IF(K447="","",K447-G447),TODAY()-G447))</f>
      </c>
      <c r="M447" s="14">
        <f>IF(J447="","",J447-E447)</f>
      </c>
      <c r="N447" s="13">
        <f>IF(OR(G447="",I447&lt;&gt;"Listed"),"",IF(TODAY()-G447&gt;60,"Reprice or move it",IF(TODAY()-G447&gt;30,"Check price","")))</f>
      </c>
    </row>
    <row r="448" spans="1:14" x14ac:dyDescent="0.25">
      <c r="A448" s="10"/>
      <c r="B448" s="10"/>
      <c r="C448" s="10"/>
      <c r="D448" s="11"/>
      <c r="E448" s="12"/>
      <c r="F448" s="10"/>
      <c r="G448" s="11"/>
      <c r="H448" s="12"/>
      <c r="I448" s="10"/>
      <c r="J448" s="12"/>
      <c r="K448" s="11"/>
      <c r="L448" s="13">
        <f>IF(G448="","",IF(I448="Sold",IF(K448="","",K448-G448),TODAY()-G448))</f>
      </c>
      <c r="M448" s="14">
        <f>IF(J448="","",J448-E448)</f>
      </c>
      <c r="N448" s="13">
        <f>IF(OR(G448="",I448&lt;&gt;"Listed"),"",IF(TODAY()-G448&gt;60,"Reprice or move it",IF(TODAY()-G448&gt;30,"Check price","")))</f>
      </c>
    </row>
    <row r="449" spans="1:14" x14ac:dyDescent="0.25">
      <c r="A449" s="10"/>
      <c r="B449" s="10"/>
      <c r="C449" s="10"/>
      <c r="D449" s="11"/>
      <c r="E449" s="12"/>
      <c r="F449" s="10"/>
      <c r="G449" s="11"/>
      <c r="H449" s="12"/>
      <c r="I449" s="10"/>
      <c r="J449" s="12"/>
      <c r="K449" s="11"/>
      <c r="L449" s="13">
        <f>IF(G449="","",IF(I449="Sold",IF(K449="","",K449-G449),TODAY()-G449))</f>
      </c>
      <c r="M449" s="14">
        <f>IF(J449="","",J449-E449)</f>
      </c>
      <c r="N449" s="13">
        <f>IF(OR(G449="",I449&lt;&gt;"Listed"),"",IF(TODAY()-G449&gt;60,"Reprice or move it",IF(TODAY()-G449&gt;30,"Check price","")))</f>
      </c>
    </row>
    <row r="450" spans="1:14" x14ac:dyDescent="0.25">
      <c r="A450" s="10"/>
      <c r="B450" s="10"/>
      <c r="C450" s="10"/>
      <c r="D450" s="11"/>
      <c r="E450" s="12"/>
      <c r="F450" s="10"/>
      <c r="G450" s="11"/>
      <c r="H450" s="12"/>
      <c r="I450" s="10"/>
      <c r="J450" s="12"/>
      <c r="K450" s="11"/>
      <c r="L450" s="13">
        <f>IF(G450="","",IF(I450="Sold",IF(K450="","",K450-G450),TODAY()-G450))</f>
      </c>
      <c r="M450" s="14">
        <f>IF(J450="","",J450-E450)</f>
      </c>
      <c r="N450" s="13">
        <f>IF(OR(G450="",I450&lt;&gt;"Listed"),"",IF(TODAY()-G450&gt;60,"Reprice or move it",IF(TODAY()-G450&gt;30,"Check price","")))</f>
      </c>
    </row>
    <row r="451" spans="1:14" x14ac:dyDescent="0.25">
      <c r="A451" s="10"/>
      <c r="B451" s="10"/>
      <c r="C451" s="10"/>
      <c r="D451" s="11"/>
      <c r="E451" s="12"/>
      <c r="F451" s="10"/>
      <c r="G451" s="11"/>
      <c r="H451" s="12"/>
      <c r="I451" s="10"/>
      <c r="J451" s="12"/>
      <c r="K451" s="11"/>
      <c r="L451" s="13">
        <f>IF(G451="","",IF(I451="Sold",IF(K451="","",K451-G451),TODAY()-G451))</f>
      </c>
      <c r="M451" s="14">
        <f>IF(J451="","",J451-E451)</f>
      </c>
      <c r="N451" s="13">
        <f>IF(OR(G451="",I451&lt;&gt;"Listed"),"",IF(TODAY()-G451&gt;60,"Reprice or move it",IF(TODAY()-G451&gt;30,"Check price","")))</f>
      </c>
    </row>
    <row r="452" spans="1:14" x14ac:dyDescent="0.25">
      <c r="A452" s="10"/>
      <c r="B452" s="10"/>
      <c r="C452" s="10"/>
      <c r="D452" s="11"/>
      <c r="E452" s="12"/>
      <c r="F452" s="10"/>
      <c r="G452" s="11"/>
      <c r="H452" s="12"/>
      <c r="I452" s="10"/>
      <c r="J452" s="12"/>
      <c r="K452" s="11"/>
      <c r="L452" s="13">
        <f>IF(G452="","",IF(I452="Sold",IF(K452="","",K452-G452),TODAY()-G452))</f>
      </c>
      <c r="M452" s="14">
        <f>IF(J452="","",J452-E452)</f>
      </c>
      <c r="N452" s="13">
        <f>IF(OR(G452="",I452&lt;&gt;"Listed"),"",IF(TODAY()-G452&gt;60,"Reprice or move it",IF(TODAY()-G452&gt;30,"Check price","")))</f>
      </c>
    </row>
    <row r="453" spans="1:14" x14ac:dyDescent="0.25">
      <c r="A453" s="10"/>
      <c r="B453" s="10"/>
      <c r="C453" s="10"/>
      <c r="D453" s="11"/>
      <c r="E453" s="12"/>
      <c r="F453" s="10"/>
      <c r="G453" s="11"/>
      <c r="H453" s="12"/>
      <c r="I453" s="10"/>
      <c r="J453" s="12"/>
      <c r="K453" s="11"/>
      <c r="L453" s="13">
        <f>IF(G453="","",IF(I453="Sold",IF(K453="","",K453-G453),TODAY()-G453))</f>
      </c>
      <c r="M453" s="14">
        <f>IF(J453="","",J453-E453)</f>
      </c>
      <c r="N453" s="13">
        <f>IF(OR(G453="",I453&lt;&gt;"Listed"),"",IF(TODAY()-G453&gt;60,"Reprice or move it",IF(TODAY()-G453&gt;30,"Check price","")))</f>
      </c>
    </row>
    <row r="454" spans="1:14" x14ac:dyDescent="0.25">
      <c r="A454" s="10"/>
      <c r="B454" s="10"/>
      <c r="C454" s="10"/>
      <c r="D454" s="11"/>
      <c r="E454" s="12"/>
      <c r="F454" s="10"/>
      <c r="G454" s="11"/>
      <c r="H454" s="12"/>
      <c r="I454" s="10"/>
      <c r="J454" s="12"/>
      <c r="K454" s="11"/>
      <c r="L454" s="13">
        <f>IF(G454="","",IF(I454="Sold",IF(K454="","",K454-G454),TODAY()-G454))</f>
      </c>
      <c r="M454" s="14">
        <f>IF(J454="","",J454-E454)</f>
      </c>
      <c r="N454" s="13">
        <f>IF(OR(G454="",I454&lt;&gt;"Listed"),"",IF(TODAY()-G454&gt;60,"Reprice or move it",IF(TODAY()-G454&gt;30,"Check price","")))</f>
      </c>
    </row>
    <row r="455" spans="1:14" x14ac:dyDescent="0.25">
      <c r="A455" s="10"/>
      <c r="B455" s="10"/>
      <c r="C455" s="10"/>
      <c r="D455" s="11"/>
      <c r="E455" s="12"/>
      <c r="F455" s="10"/>
      <c r="G455" s="11"/>
      <c r="H455" s="12"/>
      <c r="I455" s="10"/>
      <c r="J455" s="12"/>
      <c r="K455" s="11"/>
      <c r="L455" s="13">
        <f>IF(G455="","",IF(I455="Sold",IF(K455="","",K455-G455),TODAY()-G455))</f>
      </c>
      <c r="M455" s="14">
        <f>IF(J455="","",J455-E455)</f>
      </c>
      <c r="N455" s="13">
        <f>IF(OR(G455="",I455&lt;&gt;"Listed"),"",IF(TODAY()-G455&gt;60,"Reprice or move it",IF(TODAY()-G455&gt;30,"Check price","")))</f>
      </c>
    </row>
    <row r="456" spans="1:14" x14ac:dyDescent="0.25">
      <c r="A456" s="10"/>
      <c r="B456" s="10"/>
      <c r="C456" s="10"/>
      <c r="D456" s="11"/>
      <c r="E456" s="12"/>
      <c r="F456" s="10"/>
      <c r="G456" s="11"/>
      <c r="H456" s="12"/>
      <c r="I456" s="10"/>
      <c r="J456" s="12"/>
      <c r="K456" s="11"/>
      <c r="L456" s="13">
        <f>IF(G456="","",IF(I456="Sold",IF(K456="","",K456-G456),TODAY()-G456))</f>
      </c>
      <c r="M456" s="14">
        <f>IF(J456="","",J456-E456)</f>
      </c>
      <c r="N456" s="13">
        <f>IF(OR(G456="",I456&lt;&gt;"Listed"),"",IF(TODAY()-G456&gt;60,"Reprice or move it",IF(TODAY()-G456&gt;30,"Check price","")))</f>
      </c>
    </row>
    <row r="457" spans="1:14" x14ac:dyDescent="0.25">
      <c r="A457" s="10"/>
      <c r="B457" s="10"/>
      <c r="C457" s="10"/>
      <c r="D457" s="11"/>
      <c r="E457" s="12"/>
      <c r="F457" s="10"/>
      <c r="G457" s="11"/>
      <c r="H457" s="12"/>
      <c r="I457" s="10"/>
      <c r="J457" s="12"/>
      <c r="K457" s="11"/>
      <c r="L457" s="13">
        <f>IF(G457="","",IF(I457="Sold",IF(K457="","",K457-G457),TODAY()-G457))</f>
      </c>
      <c r="M457" s="14">
        <f>IF(J457="","",J457-E457)</f>
      </c>
      <c r="N457" s="13">
        <f>IF(OR(G457="",I457&lt;&gt;"Listed"),"",IF(TODAY()-G457&gt;60,"Reprice or move it",IF(TODAY()-G457&gt;30,"Check price","")))</f>
      </c>
    </row>
    <row r="458" spans="1:14" x14ac:dyDescent="0.25">
      <c r="A458" s="10"/>
      <c r="B458" s="10"/>
      <c r="C458" s="10"/>
      <c r="D458" s="11"/>
      <c r="E458" s="12"/>
      <c r="F458" s="10"/>
      <c r="G458" s="11"/>
      <c r="H458" s="12"/>
      <c r="I458" s="10"/>
      <c r="J458" s="12"/>
      <c r="K458" s="11"/>
      <c r="L458" s="13">
        <f>IF(G458="","",IF(I458="Sold",IF(K458="","",K458-G458),TODAY()-G458))</f>
      </c>
      <c r="M458" s="14">
        <f>IF(J458="","",J458-E458)</f>
      </c>
      <c r="N458" s="13">
        <f>IF(OR(G458="",I458&lt;&gt;"Listed"),"",IF(TODAY()-G458&gt;60,"Reprice or move it",IF(TODAY()-G458&gt;30,"Check price","")))</f>
      </c>
    </row>
    <row r="459" spans="1:14" x14ac:dyDescent="0.25">
      <c r="A459" s="10"/>
      <c r="B459" s="10"/>
      <c r="C459" s="10"/>
      <c r="D459" s="11"/>
      <c r="E459" s="12"/>
      <c r="F459" s="10"/>
      <c r="G459" s="11"/>
      <c r="H459" s="12"/>
      <c r="I459" s="10"/>
      <c r="J459" s="12"/>
      <c r="K459" s="11"/>
      <c r="L459" s="13">
        <f>IF(G459="","",IF(I459="Sold",IF(K459="","",K459-G459),TODAY()-G459))</f>
      </c>
      <c r="M459" s="14">
        <f>IF(J459="","",J459-E459)</f>
      </c>
      <c r="N459" s="13">
        <f>IF(OR(G459="",I459&lt;&gt;"Listed"),"",IF(TODAY()-G459&gt;60,"Reprice or move it",IF(TODAY()-G459&gt;30,"Check price","")))</f>
      </c>
    </row>
    <row r="460" spans="1:14" x14ac:dyDescent="0.25">
      <c r="A460" s="10"/>
      <c r="B460" s="10"/>
      <c r="C460" s="10"/>
      <c r="D460" s="11"/>
      <c r="E460" s="12"/>
      <c r="F460" s="10"/>
      <c r="G460" s="11"/>
      <c r="H460" s="12"/>
      <c r="I460" s="10"/>
      <c r="J460" s="12"/>
      <c r="K460" s="11"/>
      <c r="L460" s="13">
        <f>IF(G460="","",IF(I460="Sold",IF(K460="","",K460-G460),TODAY()-G460))</f>
      </c>
      <c r="M460" s="14">
        <f>IF(J460="","",J460-E460)</f>
      </c>
      <c r="N460" s="13">
        <f>IF(OR(G460="",I460&lt;&gt;"Listed"),"",IF(TODAY()-G460&gt;60,"Reprice or move it",IF(TODAY()-G460&gt;30,"Check price","")))</f>
      </c>
    </row>
    <row r="461" spans="1:14" x14ac:dyDescent="0.25">
      <c r="A461" s="10"/>
      <c r="B461" s="10"/>
      <c r="C461" s="10"/>
      <c r="D461" s="11"/>
      <c r="E461" s="12"/>
      <c r="F461" s="10"/>
      <c r="G461" s="11"/>
      <c r="H461" s="12"/>
      <c r="I461" s="10"/>
      <c r="J461" s="12"/>
      <c r="K461" s="11"/>
      <c r="L461" s="13">
        <f>IF(G461="","",IF(I461="Sold",IF(K461="","",K461-G461),TODAY()-G461))</f>
      </c>
      <c r="M461" s="14">
        <f>IF(J461="","",J461-E461)</f>
      </c>
      <c r="N461" s="13">
        <f>IF(OR(G461="",I461&lt;&gt;"Listed"),"",IF(TODAY()-G461&gt;60,"Reprice or move it",IF(TODAY()-G461&gt;30,"Check price","")))</f>
      </c>
    </row>
    <row r="462" spans="1:14" x14ac:dyDescent="0.25">
      <c r="A462" s="10"/>
      <c r="B462" s="10"/>
      <c r="C462" s="10"/>
      <c r="D462" s="11"/>
      <c r="E462" s="12"/>
      <c r="F462" s="10"/>
      <c r="G462" s="11"/>
      <c r="H462" s="12"/>
      <c r="I462" s="10"/>
      <c r="J462" s="12"/>
      <c r="K462" s="11"/>
      <c r="L462" s="13">
        <f>IF(G462="","",IF(I462="Sold",IF(K462="","",K462-G462),TODAY()-G462))</f>
      </c>
      <c r="M462" s="14">
        <f>IF(J462="","",J462-E462)</f>
      </c>
      <c r="N462" s="13">
        <f>IF(OR(G462="",I462&lt;&gt;"Listed"),"",IF(TODAY()-G462&gt;60,"Reprice or move it",IF(TODAY()-G462&gt;30,"Check price","")))</f>
      </c>
    </row>
    <row r="463" spans="1:14" x14ac:dyDescent="0.25">
      <c r="A463" s="10"/>
      <c r="B463" s="10"/>
      <c r="C463" s="10"/>
      <c r="D463" s="11"/>
      <c r="E463" s="12"/>
      <c r="F463" s="10"/>
      <c r="G463" s="11"/>
      <c r="H463" s="12"/>
      <c r="I463" s="10"/>
      <c r="J463" s="12"/>
      <c r="K463" s="11"/>
      <c r="L463" s="13">
        <f>IF(G463="","",IF(I463="Sold",IF(K463="","",K463-G463),TODAY()-G463))</f>
      </c>
      <c r="M463" s="14">
        <f>IF(J463="","",J463-E463)</f>
      </c>
      <c r="N463" s="13">
        <f>IF(OR(G463="",I463&lt;&gt;"Listed"),"",IF(TODAY()-G463&gt;60,"Reprice or move it",IF(TODAY()-G463&gt;30,"Check price","")))</f>
      </c>
    </row>
    <row r="464" spans="1:14" x14ac:dyDescent="0.25">
      <c r="A464" s="10"/>
      <c r="B464" s="10"/>
      <c r="C464" s="10"/>
      <c r="D464" s="11"/>
      <c r="E464" s="12"/>
      <c r="F464" s="10"/>
      <c r="G464" s="11"/>
      <c r="H464" s="12"/>
      <c r="I464" s="10"/>
      <c r="J464" s="12"/>
      <c r="K464" s="11"/>
      <c r="L464" s="13">
        <f>IF(G464="","",IF(I464="Sold",IF(K464="","",K464-G464),TODAY()-G464))</f>
      </c>
      <c r="M464" s="14">
        <f>IF(J464="","",J464-E464)</f>
      </c>
      <c r="N464" s="13">
        <f>IF(OR(G464="",I464&lt;&gt;"Listed"),"",IF(TODAY()-G464&gt;60,"Reprice or move it",IF(TODAY()-G464&gt;30,"Check price","")))</f>
      </c>
    </row>
    <row r="465" spans="1:14" x14ac:dyDescent="0.25">
      <c r="A465" s="10"/>
      <c r="B465" s="10"/>
      <c r="C465" s="10"/>
      <c r="D465" s="11"/>
      <c r="E465" s="12"/>
      <c r="F465" s="10"/>
      <c r="G465" s="11"/>
      <c r="H465" s="12"/>
      <c r="I465" s="10"/>
      <c r="J465" s="12"/>
      <c r="K465" s="11"/>
      <c r="L465" s="13">
        <f>IF(G465="","",IF(I465="Sold",IF(K465="","",K465-G465),TODAY()-G465))</f>
      </c>
      <c r="M465" s="14">
        <f>IF(J465="","",J465-E465)</f>
      </c>
      <c r="N465" s="13">
        <f>IF(OR(G465="",I465&lt;&gt;"Listed"),"",IF(TODAY()-G465&gt;60,"Reprice or move it",IF(TODAY()-G465&gt;30,"Check price","")))</f>
      </c>
    </row>
    <row r="466" spans="1:14" x14ac:dyDescent="0.25">
      <c r="A466" s="10"/>
      <c r="B466" s="10"/>
      <c r="C466" s="10"/>
      <c r="D466" s="11"/>
      <c r="E466" s="12"/>
      <c r="F466" s="10"/>
      <c r="G466" s="11"/>
      <c r="H466" s="12"/>
      <c r="I466" s="10"/>
      <c r="J466" s="12"/>
      <c r="K466" s="11"/>
      <c r="L466" s="13">
        <f>IF(G466="","",IF(I466="Sold",IF(K466="","",K466-G466),TODAY()-G466))</f>
      </c>
      <c r="M466" s="14">
        <f>IF(J466="","",J466-E466)</f>
      </c>
      <c r="N466" s="13">
        <f>IF(OR(G466="",I466&lt;&gt;"Listed"),"",IF(TODAY()-G466&gt;60,"Reprice or move it",IF(TODAY()-G466&gt;30,"Check price","")))</f>
      </c>
    </row>
    <row r="467" spans="1:14" x14ac:dyDescent="0.25">
      <c r="A467" s="10"/>
      <c r="B467" s="10"/>
      <c r="C467" s="10"/>
      <c r="D467" s="11"/>
      <c r="E467" s="12"/>
      <c r="F467" s="10"/>
      <c r="G467" s="11"/>
      <c r="H467" s="12"/>
      <c r="I467" s="10"/>
      <c r="J467" s="12"/>
      <c r="K467" s="11"/>
      <c r="L467" s="13">
        <f>IF(G467="","",IF(I467="Sold",IF(K467="","",K467-G467),TODAY()-G467))</f>
      </c>
      <c r="M467" s="14">
        <f>IF(J467="","",J467-E467)</f>
      </c>
      <c r="N467" s="13">
        <f>IF(OR(G467="",I467&lt;&gt;"Listed"),"",IF(TODAY()-G467&gt;60,"Reprice or move it",IF(TODAY()-G467&gt;30,"Check price","")))</f>
      </c>
    </row>
    <row r="468" spans="1:14" x14ac:dyDescent="0.25">
      <c r="A468" s="10"/>
      <c r="B468" s="10"/>
      <c r="C468" s="10"/>
      <c r="D468" s="11"/>
      <c r="E468" s="12"/>
      <c r="F468" s="10"/>
      <c r="G468" s="11"/>
      <c r="H468" s="12"/>
      <c r="I468" s="10"/>
      <c r="J468" s="12"/>
      <c r="K468" s="11"/>
      <c r="L468" s="13">
        <f>IF(G468="","",IF(I468="Sold",IF(K468="","",K468-G468),TODAY()-G468))</f>
      </c>
      <c r="M468" s="14">
        <f>IF(J468="","",J468-E468)</f>
      </c>
      <c r="N468" s="13">
        <f>IF(OR(G468="",I468&lt;&gt;"Listed"),"",IF(TODAY()-G468&gt;60,"Reprice or move it",IF(TODAY()-G468&gt;30,"Check price","")))</f>
      </c>
    </row>
    <row r="469" spans="1:14" x14ac:dyDescent="0.25">
      <c r="A469" s="10"/>
      <c r="B469" s="10"/>
      <c r="C469" s="10"/>
      <c r="D469" s="11"/>
      <c r="E469" s="12"/>
      <c r="F469" s="10"/>
      <c r="G469" s="11"/>
      <c r="H469" s="12"/>
      <c r="I469" s="10"/>
      <c r="J469" s="12"/>
      <c r="K469" s="11"/>
      <c r="L469" s="13">
        <f>IF(G469="","",IF(I469="Sold",IF(K469="","",K469-G469),TODAY()-G469))</f>
      </c>
      <c r="M469" s="14">
        <f>IF(J469="","",J469-E469)</f>
      </c>
      <c r="N469" s="13">
        <f>IF(OR(G469="",I469&lt;&gt;"Listed"),"",IF(TODAY()-G469&gt;60,"Reprice or move it",IF(TODAY()-G469&gt;30,"Check price","")))</f>
      </c>
    </row>
    <row r="470" spans="1:14" x14ac:dyDescent="0.25">
      <c r="A470" s="10"/>
      <c r="B470" s="10"/>
      <c r="C470" s="10"/>
      <c r="D470" s="11"/>
      <c r="E470" s="12"/>
      <c r="F470" s="10"/>
      <c r="G470" s="11"/>
      <c r="H470" s="12"/>
      <c r="I470" s="10"/>
      <c r="J470" s="12"/>
      <c r="K470" s="11"/>
      <c r="L470" s="13">
        <f>IF(G470="","",IF(I470="Sold",IF(K470="","",K470-G470),TODAY()-G470))</f>
      </c>
      <c r="M470" s="14">
        <f>IF(J470="","",J470-E470)</f>
      </c>
      <c r="N470" s="13">
        <f>IF(OR(G470="",I470&lt;&gt;"Listed"),"",IF(TODAY()-G470&gt;60,"Reprice or move it",IF(TODAY()-G470&gt;30,"Check price","")))</f>
      </c>
    </row>
    <row r="471" spans="1:14" x14ac:dyDescent="0.25">
      <c r="A471" s="10"/>
      <c r="B471" s="10"/>
      <c r="C471" s="10"/>
      <c r="D471" s="11"/>
      <c r="E471" s="12"/>
      <c r="F471" s="10"/>
      <c r="G471" s="11"/>
      <c r="H471" s="12"/>
      <c r="I471" s="10"/>
      <c r="J471" s="12"/>
      <c r="K471" s="11"/>
      <c r="L471" s="13">
        <f>IF(G471="","",IF(I471="Sold",IF(K471="","",K471-G471),TODAY()-G471))</f>
      </c>
      <c r="M471" s="14">
        <f>IF(J471="","",J471-E471)</f>
      </c>
      <c r="N471" s="13">
        <f>IF(OR(G471="",I471&lt;&gt;"Listed"),"",IF(TODAY()-G471&gt;60,"Reprice or move it",IF(TODAY()-G471&gt;30,"Check price","")))</f>
      </c>
    </row>
    <row r="472" spans="1:14" x14ac:dyDescent="0.25">
      <c r="A472" s="10"/>
      <c r="B472" s="10"/>
      <c r="C472" s="10"/>
      <c r="D472" s="11"/>
      <c r="E472" s="12"/>
      <c r="F472" s="10"/>
      <c r="G472" s="11"/>
      <c r="H472" s="12"/>
      <c r="I472" s="10"/>
      <c r="J472" s="12"/>
      <c r="K472" s="11"/>
      <c r="L472" s="13">
        <f>IF(G472="","",IF(I472="Sold",IF(K472="","",K472-G472),TODAY()-G472))</f>
      </c>
      <c r="M472" s="14">
        <f>IF(J472="","",J472-E472)</f>
      </c>
      <c r="N472" s="13">
        <f>IF(OR(G472="",I472&lt;&gt;"Listed"),"",IF(TODAY()-G472&gt;60,"Reprice or move it",IF(TODAY()-G472&gt;30,"Check price","")))</f>
      </c>
    </row>
    <row r="473" spans="1:14" x14ac:dyDescent="0.25">
      <c r="A473" s="10"/>
      <c r="B473" s="10"/>
      <c r="C473" s="10"/>
      <c r="D473" s="11"/>
      <c r="E473" s="12"/>
      <c r="F473" s="10"/>
      <c r="G473" s="11"/>
      <c r="H473" s="12"/>
      <c r="I473" s="10"/>
      <c r="J473" s="12"/>
      <c r="K473" s="11"/>
      <c r="L473" s="13">
        <f>IF(G473="","",IF(I473="Sold",IF(K473="","",K473-G473),TODAY()-G473))</f>
      </c>
      <c r="M473" s="14">
        <f>IF(J473="","",J473-E473)</f>
      </c>
      <c r="N473" s="13">
        <f>IF(OR(G473="",I473&lt;&gt;"Listed"),"",IF(TODAY()-G473&gt;60,"Reprice or move it",IF(TODAY()-G473&gt;30,"Check price","")))</f>
      </c>
    </row>
    <row r="474" spans="1:14" x14ac:dyDescent="0.25">
      <c r="A474" s="10"/>
      <c r="B474" s="10"/>
      <c r="C474" s="10"/>
      <c r="D474" s="11"/>
      <c r="E474" s="12"/>
      <c r="F474" s="10"/>
      <c r="G474" s="11"/>
      <c r="H474" s="12"/>
      <c r="I474" s="10"/>
      <c r="J474" s="12"/>
      <c r="K474" s="11"/>
      <c r="L474" s="13">
        <f>IF(G474="","",IF(I474="Sold",IF(K474="","",K474-G474),TODAY()-G474))</f>
      </c>
      <c r="M474" s="14">
        <f>IF(J474="","",J474-E474)</f>
      </c>
      <c r="N474" s="13">
        <f>IF(OR(G474="",I474&lt;&gt;"Listed"),"",IF(TODAY()-G474&gt;60,"Reprice or move it",IF(TODAY()-G474&gt;30,"Check price","")))</f>
      </c>
    </row>
    <row r="475" spans="1:14" x14ac:dyDescent="0.25">
      <c r="A475" s="10"/>
      <c r="B475" s="10"/>
      <c r="C475" s="10"/>
      <c r="D475" s="11"/>
      <c r="E475" s="12"/>
      <c r="F475" s="10"/>
      <c r="G475" s="11"/>
      <c r="H475" s="12"/>
      <c r="I475" s="10"/>
      <c r="J475" s="12"/>
      <c r="K475" s="11"/>
      <c r="L475" s="13">
        <f>IF(G475="","",IF(I475="Sold",IF(K475="","",K475-G475),TODAY()-G475))</f>
      </c>
      <c r="M475" s="14">
        <f>IF(J475="","",J475-E475)</f>
      </c>
      <c r="N475" s="13">
        <f>IF(OR(G475="",I475&lt;&gt;"Listed"),"",IF(TODAY()-G475&gt;60,"Reprice or move it",IF(TODAY()-G475&gt;30,"Check price","")))</f>
      </c>
    </row>
    <row r="476" spans="1:14" x14ac:dyDescent="0.25">
      <c r="A476" s="10"/>
      <c r="B476" s="10"/>
      <c r="C476" s="10"/>
      <c r="D476" s="11"/>
      <c r="E476" s="12"/>
      <c r="F476" s="10"/>
      <c r="G476" s="11"/>
      <c r="H476" s="12"/>
      <c r="I476" s="10"/>
      <c r="J476" s="12"/>
      <c r="K476" s="11"/>
      <c r="L476" s="13">
        <f>IF(G476="","",IF(I476="Sold",IF(K476="","",K476-G476),TODAY()-G476))</f>
      </c>
      <c r="M476" s="14">
        <f>IF(J476="","",J476-E476)</f>
      </c>
      <c r="N476" s="13">
        <f>IF(OR(G476="",I476&lt;&gt;"Listed"),"",IF(TODAY()-G476&gt;60,"Reprice or move it",IF(TODAY()-G476&gt;30,"Check price","")))</f>
      </c>
    </row>
    <row r="477" spans="1:14" x14ac:dyDescent="0.25">
      <c r="A477" s="10"/>
      <c r="B477" s="10"/>
      <c r="C477" s="10"/>
      <c r="D477" s="11"/>
      <c r="E477" s="12"/>
      <c r="F477" s="10"/>
      <c r="G477" s="11"/>
      <c r="H477" s="12"/>
      <c r="I477" s="10"/>
      <c r="J477" s="12"/>
      <c r="K477" s="11"/>
      <c r="L477" s="13">
        <f>IF(G477="","",IF(I477="Sold",IF(K477="","",K477-G477),TODAY()-G477))</f>
      </c>
      <c r="M477" s="14">
        <f>IF(J477="","",J477-E477)</f>
      </c>
      <c r="N477" s="13">
        <f>IF(OR(G477="",I477&lt;&gt;"Listed"),"",IF(TODAY()-G477&gt;60,"Reprice or move it",IF(TODAY()-G477&gt;30,"Check price","")))</f>
      </c>
    </row>
    <row r="478" spans="1:14" x14ac:dyDescent="0.25">
      <c r="A478" s="10"/>
      <c r="B478" s="10"/>
      <c r="C478" s="10"/>
      <c r="D478" s="11"/>
      <c r="E478" s="12"/>
      <c r="F478" s="10"/>
      <c r="G478" s="11"/>
      <c r="H478" s="12"/>
      <c r="I478" s="10"/>
      <c r="J478" s="12"/>
      <c r="K478" s="11"/>
      <c r="L478" s="13">
        <f>IF(G478="","",IF(I478="Sold",IF(K478="","",K478-G478),TODAY()-G478))</f>
      </c>
      <c r="M478" s="14">
        <f>IF(J478="","",J478-E478)</f>
      </c>
      <c r="N478" s="13">
        <f>IF(OR(G478="",I478&lt;&gt;"Listed"),"",IF(TODAY()-G478&gt;60,"Reprice or move it",IF(TODAY()-G478&gt;30,"Check price","")))</f>
      </c>
    </row>
    <row r="479" spans="1:14" x14ac:dyDescent="0.25">
      <c r="A479" s="10"/>
      <c r="B479" s="10"/>
      <c r="C479" s="10"/>
      <c r="D479" s="11"/>
      <c r="E479" s="12"/>
      <c r="F479" s="10"/>
      <c r="G479" s="11"/>
      <c r="H479" s="12"/>
      <c r="I479" s="10"/>
      <c r="J479" s="12"/>
      <c r="K479" s="11"/>
      <c r="L479" s="13">
        <f>IF(G479="","",IF(I479="Sold",IF(K479="","",K479-G479),TODAY()-G479))</f>
      </c>
      <c r="M479" s="14">
        <f>IF(J479="","",J479-E479)</f>
      </c>
      <c r="N479" s="13">
        <f>IF(OR(G479="",I479&lt;&gt;"Listed"),"",IF(TODAY()-G479&gt;60,"Reprice or move it",IF(TODAY()-G479&gt;30,"Check price","")))</f>
      </c>
    </row>
    <row r="480" spans="1:14" x14ac:dyDescent="0.25">
      <c r="A480" s="10"/>
      <c r="B480" s="10"/>
      <c r="C480" s="10"/>
      <c r="D480" s="11"/>
      <c r="E480" s="12"/>
      <c r="F480" s="10"/>
      <c r="G480" s="11"/>
      <c r="H480" s="12"/>
      <c r="I480" s="10"/>
      <c r="J480" s="12"/>
      <c r="K480" s="11"/>
      <c r="L480" s="13">
        <f>IF(G480="","",IF(I480="Sold",IF(K480="","",K480-G480),TODAY()-G480))</f>
      </c>
      <c r="M480" s="14">
        <f>IF(J480="","",J480-E480)</f>
      </c>
      <c r="N480" s="13">
        <f>IF(OR(G480="",I480&lt;&gt;"Listed"),"",IF(TODAY()-G480&gt;60,"Reprice or move it",IF(TODAY()-G480&gt;30,"Check price","")))</f>
      </c>
    </row>
    <row r="481" spans="1:14" x14ac:dyDescent="0.25">
      <c r="A481" s="10"/>
      <c r="B481" s="10"/>
      <c r="C481" s="10"/>
      <c r="D481" s="11"/>
      <c r="E481" s="12"/>
      <c r="F481" s="10"/>
      <c r="G481" s="11"/>
      <c r="H481" s="12"/>
      <c r="I481" s="10"/>
      <c r="J481" s="12"/>
      <c r="K481" s="11"/>
      <c r="L481" s="13">
        <f>IF(G481="","",IF(I481="Sold",IF(K481="","",K481-G481),TODAY()-G481))</f>
      </c>
      <c r="M481" s="14">
        <f>IF(J481="","",J481-E481)</f>
      </c>
      <c r="N481" s="13">
        <f>IF(OR(G481="",I481&lt;&gt;"Listed"),"",IF(TODAY()-G481&gt;60,"Reprice or move it",IF(TODAY()-G481&gt;30,"Check price","")))</f>
      </c>
    </row>
    <row r="482" spans="1:14" x14ac:dyDescent="0.25">
      <c r="A482" s="10"/>
      <c r="B482" s="10"/>
      <c r="C482" s="10"/>
      <c r="D482" s="11"/>
      <c r="E482" s="12"/>
      <c r="F482" s="10"/>
      <c r="G482" s="11"/>
      <c r="H482" s="12"/>
      <c r="I482" s="10"/>
      <c r="J482" s="12"/>
      <c r="K482" s="11"/>
      <c r="L482" s="13">
        <f>IF(G482="","",IF(I482="Sold",IF(K482="","",K482-G482),TODAY()-G482))</f>
      </c>
      <c r="M482" s="14">
        <f>IF(J482="","",J482-E482)</f>
      </c>
      <c r="N482" s="13">
        <f>IF(OR(G482="",I482&lt;&gt;"Listed"),"",IF(TODAY()-G482&gt;60,"Reprice or move it",IF(TODAY()-G482&gt;30,"Check price","")))</f>
      </c>
    </row>
    <row r="483" spans="1:14" x14ac:dyDescent="0.25">
      <c r="A483" s="10"/>
      <c r="B483" s="10"/>
      <c r="C483" s="10"/>
      <c r="D483" s="11"/>
      <c r="E483" s="12"/>
      <c r="F483" s="10"/>
      <c r="G483" s="11"/>
      <c r="H483" s="12"/>
      <c r="I483" s="10"/>
      <c r="J483" s="12"/>
      <c r="K483" s="11"/>
      <c r="L483" s="13">
        <f>IF(G483="","",IF(I483="Sold",IF(K483="","",K483-G483),TODAY()-G483))</f>
      </c>
      <c r="M483" s="14">
        <f>IF(J483="","",J483-E483)</f>
      </c>
      <c r="N483" s="13">
        <f>IF(OR(G483="",I483&lt;&gt;"Listed"),"",IF(TODAY()-G483&gt;60,"Reprice or move it",IF(TODAY()-G483&gt;30,"Check price","")))</f>
      </c>
    </row>
    <row r="484" spans="1:14" x14ac:dyDescent="0.25">
      <c r="A484" s="10"/>
      <c r="B484" s="10"/>
      <c r="C484" s="10"/>
      <c r="D484" s="11"/>
      <c r="E484" s="12"/>
      <c r="F484" s="10"/>
      <c r="G484" s="11"/>
      <c r="H484" s="12"/>
      <c r="I484" s="10"/>
      <c r="J484" s="12"/>
      <c r="K484" s="11"/>
      <c r="L484" s="13">
        <f>IF(G484="","",IF(I484="Sold",IF(K484="","",K484-G484),TODAY()-G484))</f>
      </c>
      <c r="M484" s="14">
        <f>IF(J484="","",J484-E484)</f>
      </c>
      <c r="N484" s="13">
        <f>IF(OR(G484="",I484&lt;&gt;"Listed"),"",IF(TODAY()-G484&gt;60,"Reprice or move it",IF(TODAY()-G484&gt;30,"Check price","")))</f>
      </c>
    </row>
    <row r="485" spans="1:14" x14ac:dyDescent="0.25">
      <c r="A485" s="10"/>
      <c r="B485" s="10"/>
      <c r="C485" s="10"/>
      <c r="D485" s="11"/>
      <c r="E485" s="12"/>
      <c r="F485" s="10"/>
      <c r="G485" s="11"/>
      <c r="H485" s="12"/>
      <c r="I485" s="10"/>
      <c r="J485" s="12"/>
      <c r="K485" s="11"/>
      <c r="L485" s="13">
        <f>IF(G485="","",IF(I485="Sold",IF(K485="","",K485-G485),TODAY()-G485))</f>
      </c>
      <c r="M485" s="14">
        <f>IF(J485="","",J485-E485)</f>
      </c>
      <c r="N485" s="13">
        <f>IF(OR(G485="",I485&lt;&gt;"Listed"),"",IF(TODAY()-G485&gt;60,"Reprice or move it",IF(TODAY()-G485&gt;30,"Check price","")))</f>
      </c>
    </row>
    <row r="486" spans="1:14" x14ac:dyDescent="0.25">
      <c r="A486" s="10"/>
      <c r="B486" s="10"/>
      <c r="C486" s="10"/>
      <c r="D486" s="11"/>
      <c r="E486" s="12"/>
      <c r="F486" s="10"/>
      <c r="G486" s="11"/>
      <c r="H486" s="12"/>
      <c r="I486" s="10"/>
      <c r="J486" s="12"/>
      <c r="K486" s="11"/>
      <c r="L486" s="13">
        <f>IF(G486="","",IF(I486="Sold",IF(K486="","",K486-G486),TODAY()-G486))</f>
      </c>
      <c r="M486" s="14">
        <f>IF(J486="","",J486-E486)</f>
      </c>
      <c r="N486" s="13">
        <f>IF(OR(G486="",I486&lt;&gt;"Listed"),"",IF(TODAY()-G486&gt;60,"Reprice or move it",IF(TODAY()-G486&gt;30,"Check price","")))</f>
      </c>
    </row>
    <row r="487" spans="1:14" x14ac:dyDescent="0.25">
      <c r="A487" s="10"/>
      <c r="B487" s="10"/>
      <c r="C487" s="10"/>
      <c r="D487" s="11"/>
      <c r="E487" s="12"/>
      <c r="F487" s="10"/>
      <c r="G487" s="11"/>
      <c r="H487" s="12"/>
      <c r="I487" s="10"/>
      <c r="J487" s="12"/>
      <c r="K487" s="11"/>
      <c r="L487" s="13">
        <f>IF(G487="","",IF(I487="Sold",IF(K487="","",K487-G487),TODAY()-G487))</f>
      </c>
      <c r="M487" s="14">
        <f>IF(J487="","",J487-E487)</f>
      </c>
      <c r="N487" s="13">
        <f>IF(OR(G487="",I487&lt;&gt;"Listed"),"",IF(TODAY()-G487&gt;60,"Reprice or move it",IF(TODAY()-G487&gt;30,"Check price","")))</f>
      </c>
    </row>
    <row r="488" spans="1:14" x14ac:dyDescent="0.25">
      <c r="A488" s="10"/>
      <c r="B488" s="10"/>
      <c r="C488" s="10"/>
      <c r="D488" s="11"/>
      <c r="E488" s="12"/>
      <c r="F488" s="10"/>
      <c r="G488" s="11"/>
      <c r="H488" s="12"/>
      <c r="I488" s="10"/>
      <c r="J488" s="12"/>
      <c r="K488" s="11"/>
      <c r="L488" s="13">
        <f>IF(G488="","",IF(I488="Sold",IF(K488="","",K488-G488),TODAY()-G488))</f>
      </c>
      <c r="M488" s="14">
        <f>IF(J488="","",J488-E488)</f>
      </c>
      <c r="N488" s="13">
        <f>IF(OR(G488="",I488&lt;&gt;"Listed"),"",IF(TODAY()-G488&gt;60,"Reprice or move it",IF(TODAY()-G488&gt;30,"Check price","")))</f>
      </c>
    </row>
    <row r="489" spans="1:14" x14ac:dyDescent="0.25">
      <c r="A489" s="10"/>
      <c r="B489" s="10"/>
      <c r="C489" s="10"/>
      <c r="D489" s="11"/>
      <c r="E489" s="12"/>
      <c r="F489" s="10"/>
      <c r="G489" s="11"/>
      <c r="H489" s="12"/>
      <c r="I489" s="10"/>
      <c r="J489" s="12"/>
      <c r="K489" s="11"/>
      <c r="L489" s="13">
        <f>IF(G489="","",IF(I489="Sold",IF(K489="","",K489-G489),TODAY()-G489))</f>
      </c>
      <c r="M489" s="14">
        <f>IF(J489="","",J489-E489)</f>
      </c>
      <c r="N489" s="13">
        <f>IF(OR(G489="",I489&lt;&gt;"Listed"),"",IF(TODAY()-G489&gt;60,"Reprice or move it",IF(TODAY()-G489&gt;30,"Check price","")))</f>
      </c>
    </row>
    <row r="490" spans="1:14" x14ac:dyDescent="0.25">
      <c r="A490" s="10"/>
      <c r="B490" s="10"/>
      <c r="C490" s="10"/>
      <c r="D490" s="11"/>
      <c r="E490" s="12"/>
      <c r="F490" s="10"/>
      <c r="G490" s="11"/>
      <c r="H490" s="12"/>
      <c r="I490" s="10"/>
      <c r="J490" s="12"/>
      <c r="K490" s="11"/>
      <c r="L490" s="13">
        <f>IF(G490="","",IF(I490="Sold",IF(K490="","",K490-G490),TODAY()-G490))</f>
      </c>
      <c r="M490" s="14">
        <f>IF(J490="","",J490-E490)</f>
      </c>
      <c r="N490" s="13">
        <f>IF(OR(G490="",I490&lt;&gt;"Listed"),"",IF(TODAY()-G490&gt;60,"Reprice or move it",IF(TODAY()-G490&gt;30,"Check price","")))</f>
      </c>
    </row>
    <row r="491" spans="1:14" x14ac:dyDescent="0.25">
      <c r="A491" s="10"/>
      <c r="B491" s="10"/>
      <c r="C491" s="10"/>
      <c r="D491" s="11"/>
      <c r="E491" s="12"/>
      <c r="F491" s="10"/>
      <c r="G491" s="11"/>
      <c r="H491" s="12"/>
      <c r="I491" s="10"/>
      <c r="J491" s="12"/>
      <c r="K491" s="11"/>
      <c r="L491" s="13">
        <f>IF(G491="","",IF(I491="Sold",IF(K491="","",K491-G491),TODAY()-G491))</f>
      </c>
      <c r="M491" s="14">
        <f>IF(J491="","",J491-E491)</f>
      </c>
      <c r="N491" s="13">
        <f>IF(OR(G491="",I491&lt;&gt;"Listed"),"",IF(TODAY()-G491&gt;60,"Reprice or move it",IF(TODAY()-G491&gt;30,"Check price","")))</f>
      </c>
    </row>
    <row r="492" spans="1:14" x14ac:dyDescent="0.25">
      <c r="A492" s="10"/>
      <c r="B492" s="10"/>
      <c r="C492" s="10"/>
      <c r="D492" s="11"/>
      <c r="E492" s="12"/>
      <c r="F492" s="10"/>
      <c r="G492" s="11"/>
      <c r="H492" s="12"/>
      <c r="I492" s="10"/>
      <c r="J492" s="12"/>
      <c r="K492" s="11"/>
      <c r="L492" s="13">
        <f>IF(G492="","",IF(I492="Sold",IF(K492="","",K492-G492),TODAY()-G492))</f>
      </c>
      <c r="M492" s="14">
        <f>IF(J492="","",J492-E492)</f>
      </c>
      <c r="N492" s="13">
        <f>IF(OR(G492="",I492&lt;&gt;"Listed"),"",IF(TODAY()-G492&gt;60,"Reprice or move it",IF(TODAY()-G492&gt;30,"Check price","")))</f>
      </c>
    </row>
    <row r="493" spans="1:14" x14ac:dyDescent="0.25">
      <c r="A493" s="10"/>
      <c r="B493" s="10"/>
      <c r="C493" s="10"/>
      <c r="D493" s="11"/>
      <c r="E493" s="12"/>
      <c r="F493" s="10"/>
      <c r="G493" s="11"/>
      <c r="H493" s="12"/>
      <c r="I493" s="10"/>
      <c r="J493" s="12"/>
      <c r="K493" s="11"/>
      <c r="L493" s="13">
        <f>IF(G493="","",IF(I493="Sold",IF(K493="","",K493-G493),TODAY()-G493))</f>
      </c>
      <c r="M493" s="14">
        <f>IF(J493="","",J493-E493)</f>
      </c>
      <c r="N493" s="13">
        <f>IF(OR(G493="",I493&lt;&gt;"Listed"),"",IF(TODAY()-G493&gt;60,"Reprice or move it",IF(TODAY()-G493&gt;30,"Check price","")))</f>
      </c>
    </row>
    <row r="494" spans="1:14" x14ac:dyDescent="0.25">
      <c r="A494" s="10"/>
      <c r="B494" s="10"/>
      <c r="C494" s="10"/>
      <c r="D494" s="11"/>
      <c r="E494" s="12"/>
      <c r="F494" s="10"/>
      <c r="G494" s="11"/>
      <c r="H494" s="12"/>
      <c r="I494" s="10"/>
      <c r="J494" s="12"/>
      <c r="K494" s="11"/>
      <c r="L494" s="13">
        <f>IF(G494="","",IF(I494="Sold",IF(K494="","",K494-G494),TODAY()-G494))</f>
      </c>
      <c r="M494" s="14">
        <f>IF(J494="","",J494-E494)</f>
      </c>
      <c r="N494" s="13">
        <f>IF(OR(G494="",I494&lt;&gt;"Listed"),"",IF(TODAY()-G494&gt;60,"Reprice or move it",IF(TODAY()-G494&gt;30,"Check price","")))</f>
      </c>
    </row>
    <row r="495" spans="1:14" x14ac:dyDescent="0.25">
      <c r="A495" s="10"/>
      <c r="B495" s="10"/>
      <c r="C495" s="10"/>
      <c r="D495" s="11"/>
      <c r="E495" s="12"/>
      <c r="F495" s="10"/>
      <c r="G495" s="11"/>
      <c r="H495" s="12"/>
      <c r="I495" s="10"/>
      <c r="J495" s="12"/>
      <c r="K495" s="11"/>
      <c r="L495" s="13">
        <f>IF(G495="","",IF(I495="Sold",IF(K495="","",K495-G495),TODAY()-G495))</f>
      </c>
      <c r="M495" s="14">
        <f>IF(J495="","",J495-E495)</f>
      </c>
      <c r="N495" s="13">
        <f>IF(OR(G495="",I495&lt;&gt;"Listed"),"",IF(TODAY()-G495&gt;60,"Reprice or move it",IF(TODAY()-G495&gt;30,"Check price","")))</f>
      </c>
    </row>
    <row r="496" spans="1:14" x14ac:dyDescent="0.25">
      <c r="A496" s="10"/>
      <c r="B496" s="10"/>
      <c r="C496" s="10"/>
      <c r="D496" s="11"/>
      <c r="E496" s="12"/>
      <c r="F496" s="10"/>
      <c r="G496" s="11"/>
      <c r="H496" s="12"/>
      <c r="I496" s="10"/>
      <c r="J496" s="12"/>
      <c r="K496" s="11"/>
      <c r="L496" s="13">
        <f>IF(G496="","",IF(I496="Sold",IF(K496="","",K496-G496),TODAY()-G496))</f>
      </c>
      <c r="M496" s="14">
        <f>IF(J496="","",J496-E496)</f>
      </c>
      <c r="N496" s="13">
        <f>IF(OR(G496="",I496&lt;&gt;"Listed"),"",IF(TODAY()-G496&gt;60,"Reprice or move it",IF(TODAY()-G496&gt;30,"Check price","")))</f>
      </c>
    </row>
    <row r="497" spans="1:14" x14ac:dyDescent="0.25">
      <c r="A497" s="10"/>
      <c r="B497" s="10"/>
      <c r="C497" s="10"/>
      <c r="D497" s="11"/>
      <c r="E497" s="12"/>
      <c r="F497" s="10"/>
      <c r="G497" s="11"/>
      <c r="H497" s="12"/>
      <c r="I497" s="10"/>
      <c r="J497" s="12"/>
      <c r="K497" s="11"/>
      <c r="L497" s="13">
        <f>IF(G497="","",IF(I497="Sold",IF(K497="","",K497-G497),TODAY()-G497))</f>
      </c>
      <c r="M497" s="14">
        <f>IF(J497="","",J497-E497)</f>
      </c>
      <c r="N497" s="13">
        <f>IF(OR(G497="",I497&lt;&gt;"Listed"),"",IF(TODAY()-G497&gt;60,"Reprice or move it",IF(TODAY()-G497&gt;30,"Check price","")))</f>
      </c>
    </row>
    <row r="498" spans="1:14" x14ac:dyDescent="0.25">
      <c r="A498" s="10"/>
      <c r="B498" s="10"/>
      <c r="C498" s="10"/>
      <c r="D498" s="11"/>
      <c r="E498" s="12"/>
      <c r="F498" s="10"/>
      <c r="G498" s="11"/>
      <c r="H498" s="12"/>
      <c r="I498" s="10"/>
      <c r="J498" s="12"/>
      <c r="K498" s="11"/>
      <c r="L498" s="13">
        <f>IF(G498="","",IF(I498="Sold",IF(K498="","",K498-G498),TODAY()-G498))</f>
      </c>
      <c r="M498" s="14">
        <f>IF(J498="","",J498-E498)</f>
      </c>
      <c r="N498" s="13">
        <f>IF(OR(G498="",I498&lt;&gt;"Listed"),"",IF(TODAY()-G498&gt;60,"Reprice or move it",IF(TODAY()-G498&gt;30,"Check price","")))</f>
      </c>
    </row>
    <row r="499" spans="1:14" x14ac:dyDescent="0.25">
      <c r="A499" s="10"/>
      <c r="B499" s="10"/>
      <c r="C499" s="10"/>
      <c r="D499" s="11"/>
      <c r="E499" s="12"/>
      <c r="F499" s="10"/>
      <c r="G499" s="11"/>
      <c r="H499" s="12"/>
      <c r="I499" s="10"/>
      <c r="J499" s="12"/>
      <c r="K499" s="11"/>
      <c r="L499" s="13">
        <f>IF(G499="","",IF(I499="Sold",IF(K499="","",K499-G499),TODAY()-G499))</f>
      </c>
      <c r="M499" s="14">
        <f>IF(J499="","",J499-E499)</f>
      </c>
      <c r="N499" s="13">
        <f>IF(OR(G499="",I499&lt;&gt;"Listed"),"",IF(TODAY()-G499&gt;60,"Reprice or move it",IF(TODAY()-G499&gt;30,"Check price","")))</f>
      </c>
    </row>
    <row r="500" spans="1:14" x14ac:dyDescent="0.25">
      <c r="A500" s="10"/>
      <c r="B500" s="10"/>
      <c r="C500" s="10"/>
      <c r="D500" s="11"/>
      <c r="E500" s="12"/>
      <c r="F500" s="10"/>
      <c r="G500" s="11"/>
      <c r="H500" s="12"/>
      <c r="I500" s="10"/>
      <c r="J500" s="12"/>
      <c r="K500" s="11"/>
      <c r="L500" s="13">
        <f>IF(G500="","",IF(I500="Sold",IF(K500="","",K500-G500),TODAY()-G500))</f>
      </c>
      <c r="M500" s="14">
        <f>IF(J500="","",J500-E500)</f>
      </c>
      <c r="N500" s="13">
        <f>IF(OR(G500="",I500&lt;&gt;"Listed"),"",IF(TODAY()-G500&gt;60,"Reprice or move it",IF(TODAY()-G500&gt;30,"Check price","")))</f>
      </c>
    </row>
    <row r="501" spans="1:14" x14ac:dyDescent="0.25">
      <c r="A501" s="10"/>
      <c r="B501" s="10"/>
      <c r="C501" s="10"/>
      <c r="D501" s="11"/>
      <c r="E501" s="12"/>
      <c r="F501" s="10"/>
      <c r="G501" s="11"/>
      <c r="H501" s="12"/>
      <c r="I501" s="10"/>
      <c r="J501" s="12"/>
      <c r="K501" s="11"/>
      <c r="L501" s="13">
        <f>IF(G501="","",IF(I501="Sold",IF(K501="","",K501-G501),TODAY()-G501))</f>
      </c>
      <c r="M501" s="14">
        <f>IF(J501="","",J501-E501)</f>
      </c>
      <c r="N501" s="13">
        <f>IF(OR(G501="",I501&lt;&gt;"Listed"),"",IF(TODAY()-G501&gt;60,"Reprice or move it",IF(TODAY()-G501&gt;30,"Check price","")))</f>
      </c>
    </row>
  </sheetData>
  <autoFilter ref="A1:N1"/>
  <conditionalFormatting sqref="N2:N501">
    <cfRule type="containsText" dxfId="0" priority="1">
      <formula>NOT(ISERROR(SEARCH("Reprice",N2)))</formula>
    </cfRule>
    <cfRule type="containsText" dxfId="1" priority="2">
      <formula>NOT(ISERROR(SEARCH("Check",N2)))</formula>
    </cfRule>
  </conditionalFormatting>
  <dataValidations count="8">
    <dataValidation type="date" operator="greaterThan" allowBlank="1" sqref="D10:D501">
      <formula1>36526</formula1>
    </dataValidation>
    <dataValidation type="date" operator="greaterThan" allowBlank="1" sqref="D2:D501">
      <formula1>36526</formula1>
    </dataValidation>
    <dataValidation type="date" operator="greaterThan" allowBlank="1" sqref="G10:G501">
      <formula1>36526</formula1>
    </dataValidation>
    <dataValidation type="date" operator="greaterThan" allowBlank="1" sqref="G2:G501">
      <formula1>36526</formula1>
    </dataValidation>
    <dataValidation type="list" allowBlank="1" sqref="I10:I501">
      <formula1>"Listed,Not listed,Sold,Returned,Written off"</formula1>
    </dataValidation>
    <dataValidation type="list" allowBlank="1" sqref="I2:I501">
      <formula1>"Listed,Not listed,Sold,Returned,Written off"</formula1>
    </dataValidation>
    <dataValidation type="date" operator="greaterThan" allowBlank="1" sqref="K10:K501">
      <formula1>36526</formula1>
    </dataValidation>
    <dataValidation type="date" operator="greaterThan" allowBlank="1" sqref="K2:K501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Sellers Network</dc:creator>
  <dc:title>Stock tracker</dc:title>
  <dc:subject/>
  <dc:description/>
  <cp:keywords/>
  <cp:category/>
  <cp:lastModifiedBy>Unknown</cp:lastModifiedBy>
  <dcterms:created xsi:type="dcterms:W3CDTF">2026-09-28T00:00:00Z</dcterms:created>
  <dcterms:modified xsi:type="dcterms:W3CDTF">2026-09-28T15:18:33Z</dcterms:modified>
</cp:coreProperties>
</file>